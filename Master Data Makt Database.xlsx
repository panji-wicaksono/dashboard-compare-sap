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01 Work\CPI\02 Learning\06 Development\dashboard-compare-sap\data\"/>
    </mc:Choice>
  </mc:AlternateContent>
  <xr:revisionPtr revIDLastSave="0" documentId="8_{4262E697-459E-4009-BBB5-672FD37F6A17}" xr6:coauthVersionLast="45" xr6:coauthVersionMax="45" xr10:uidLastSave="{00000000-0000-0000-0000-000000000000}"/>
  <bookViews>
    <workbookView xWindow="28680" yWindow="-120" windowWidth="20730" windowHeight="11040" activeTab="1" xr2:uid="{103CE50F-369E-4E87-A6A4-66135A49BB60}"/>
  </bookViews>
  <sheets>
    <sheet name="Sheet1" sheetId="1" r:id="rId1"/>
    <sheet name="Master MAKT" sheetId="2" r:id="rId2"/>
  </sheets>
  <definedNames>
    <definedName name="_xlnm._FilterDatabase" localSheetId="0" hidden="1">Sheet1!$A$1:$B$168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2" i="1"/>
</calcChain>
</file>

<file path=xl/sharedStrings.xml><?xml version="1.0" encoding="utf-8"?>
<sst xmlns="http://schemas.openxmlformats.org/spreadsheetml/2006/main" count="347" uniqueCount="298">
  <si>
    <t>1188003S</t>
  </si>
  <si>
    <t>111C0000</t>
  </si>
  <si>
    <t>111B0000</t>
  </si>
  <si>
    <t>111C0004</t>
  </si>
  <si>
    <t>1140001C</t>
  </si>
  <si>
    <t>1188005K</t>
  </si>
  <si>
    <t>1188005L</t>
  </si>
  <si>
    <t>1188004G</t>
  </si>
  <si>
    <t>1132000V</t>
  </si>
  <si>
    <t>1132000S</t>
  </si>
  <si>
    <t>1132000T</t>
  </si>
  <si>
    <t>1132000O</t>
  </si>
  <si>
    <t>1132000R</t>
  </si>
  <si>
    <t>1132000N</t>
  </si>
  <si>
    <t>1132000P</t>
  </si>
  <si>
    <t>1132000Q</t>
  </si>
  <si>
    <t>1132000U</t>
  </si>
  <si>
    <t>1132000W</t>
  </si>
  <si>
    <t>1132000X</t>
  </si>
  <si>
    <t>1132000Y</t>
  </si>
  <si>
    <t>1134002G</t>
  </si>
  <si>
    <t>1195008MR0</t>
  </si>
  <si>
    <t>1195000HR0</t>
  </si>
  <si>
    <t>1195006YR0</t>
  </si>
  <si>
    <t>11959973R0</t>
  </si>
  <si>
    <t>1195007YR0</t>
  </si>
  <si>
    <t>1195008PR0</t>
  </si>
  <si>
    <t>1195006MR0</t>
  </si>
  <si>
    <t>11950117R0</t>
  </si>
  <si>
    <t>1132000M</t>
  </si>
  <si>
    <t>1132001B</t>
  </si>
  <si>
    <t>1188001K</t>
  </si>
  <si>
    <t>1188001J</t>
  </si>
  <si>
    <t>1195000H</t>
  </si>
  <si>
    <t>1195006Y</t>
  </si>
  <si>
    <t>1195007Y</t>
  </si>
  <si>
    <t>1195006M</t>
  </si>
  <si>
    <t>1188004H</t>
  </si>
  <si>
    <t>1188004K</t>
  </si>
  <si>
    <t>1188001Y</t>
  </si>
  <si>
    <t>1188003J</t>
  </si>
  <si>
    <t>1195008M</t>
  </si>
  <si>
    <t>1195008T</t>
  </si>
  <si>
    <t>1195008U</t>
  </si>
  <si>
    <t>1195008P</t>
  </si>
  <si>
    <t>1188001G</t>
  </si>
  <si>
    <t>1188001I</t>
  </si>
  <si>
    <t>1188001F</t>
  </si>
  <si>
    <t>id</t>
  </si>
  <si>
    <t>MATNR</t>
  </si>
  <si>
    <t>MAKTX</t>
  </si>
  <si>
    <t>Drumstick 85-95 Gr Fresh</t>
  </si>
  <si>
    <t>SBB 5 Kg Frozen (25Kg)</t>
  </si>
  <si>
    <t>Bulu</t>
  </si>
  <si>
    <t>Darah</t>
  </si>
  <si>
    <t>Yellow Skin</t>
  </si>
  <si>
    <t>Isi Ampela Fresh</t>
  </si>
  <si>
    <t>Head 10 Kg</t>
  </si>
  <si>
    <t>Ceker By Product Fresh</t>
  </si>
  <si>
    <t>Ceker Fresh (Rumah Buah)</t>
  </si>
  <si>
    <t>Ceker tanpa Kuku 1 Kg Fr Hachi Grill</t>
  </si>
  <si>
    <t>Ceker By Product 5 Kg Frozen</t>
  </si>
  <si>
    <t>Ceker 1 KG Frozen</t>
  </si>
  <si>
    <t>Usus 10 Kg Fresh</t>
  </si>
  <si>
    <t>Hati + Ampla (Giblet) Fresh</t>
  </si>
  <si>
    <t>Ampela Ayam Fresh (Rumah Buah)</t>
  </si>
  <si>
    <t>Ampela 1 Kg Fr Hachi Grill</t>
  </si>
  <si>
    <t>Ampela 1 KG Frozen</t>
  </si>
  <si>
    <t>Hati Bersih (RM Fresh)</t>
  </si>
  <si>
    <t>Hati 1 KG Frozen</t>
  </si>
  <si>
    <t>Jantung 1 KG Frozen</t>
  </si>
  <si>
    <t>Hati 5 Kg Fz</t>
  </si>
  <si>
    <t>Serpihan BP</t>
  </si>
  <si>
    <t>Lemak By Produk Frozen</t>
  </si>
  <si>
    <t>Tembolok 10 Kg</t>
  </si>
  <si>
    <t>Skin neck RM Fresh</t>
  </si>
  <si>
    <t>Tulang Leher 5 Kg Frozen</t>
  </si>
  <si>
    <t>Tunggir</t>
  </si>
  <si>
    <t>Fat Carcass Fresh</t>
  </si>
  <si>
    <t>Skin Carcass 4 KG Frozen</t>
  </si>
  <si>
    <t>Daging Potong BB (RM)</t>
  </si>
  <si>
    <t>Daging Potong BL (RM)</t>
  </si>
  <si>
    <t>Trimming SBB Frozen</t>
  </si>
  <si>
    <t>Daging Potong BL 5 Kg Frozen</t>
  </si>
  <si>
    <t>Drum  Bone</t>
  </si>
  <si>
    <t>Thigh Bone</t>
  </si>
  <si>
    <t>Scrap/Knee Bone</t>
  </si>
  <si>
    <t>Wing Tip</t>
  </si>
  <si>
    <t>FULLWING REJECT</t>
  </si>
  <si>
    <t>Empedu</t>
  </si>
  <si>
    <t>Griller Size 1 (700-800 G) (15 E) Fresh</t>
  </si>
  <si>
    <t>Griller Size 2 (800-900 G) (10 E) Fresh</t>
  </si>
  <si>
    <t>Griller Size 0 ( 40 Ekor ) Frozen</t>
  </si>
  <si>
    <t>Griller Size 1 ( 30 Ekor ) Frozen</t>
  </si>
  <si>
    <t>Griller Size 2 ( 20 Ekor ) Frozen</t>
  </si>
  <si>
    <t>Griller Size A (900-1000 G) General</t>
  </si>
  <si>
    <t>Griller Size B (1000-1100 G) General</t>
  </si>
  <si>
    <t>Griller Size C (1100-1200 G) General</t>
  </si>
  <si>
    <t>Griller Size D (1200-1300 G) General</t>
  </si>
  <si>
    <t>Griller Size D (1200-1300 G) Special Ord</t>
  </si>
  <si>
    <t>Griller Size A Frozen (18-20 Kg)</t>
  </si>
  <si>
    <t>Griller UP 1,7 Frozen</t>
  </si>
  <si>
    <t>Chicken Parting 7 CP Brand</t>
  </si>
  <si>
    <t>A&amp;W P-9 Fresh</t>
  </si>
  <si>
    <t>RM P-10 JRFC</t>
  </si>
  <si>
    <t>RM P-10 Size B-C Fresh</t>
  </si>
  <si>
    <t>RM P-10 Size D Fr Indomaret</t>
  </si>
  <si>
    <t>RM P - 14 Fresh</t>
  </si>
  <si>
    <t>RM Chicken Carcass Cut 2 RF</t>
  </si>
  <si>
    <t>BL FRESH (R/M)</t>
  </si>
  <si>
    <t>BL Mitra 10 Kg</t>
  </si>
  <si>
    <t>BL BLOCK 15-25 GR (R/M)</t>
  </si>
  <si>
    <t>BL Thigh 100-110 Gr RM Fresh</t>
  </si>
  <si>
    <t>SBL FRESH (R/M)</t>
  </si>
  <si>
    <t>SBL 1 Kg Fr Hachi Grill</t>
  </si>
  <si>
    <t>SBL 5 KG (R/M) FROZEN</t>
  </si>
  <si>
    <t>SBL Mitra  10 Kg</t>
  </si>
  <si>
    <t>SBL Strip 15-20Gr/SBL Block 8-15Gr-Fresh</t>
  </si>
  <si>
    <t>SBL Block (20-30 gr) RM Fresh</t>
  </si>
  <si>
    <t>SBL DICE 3-5 GR FRESH</t>
  </si>
  <si>
    <t>SBL Dice 1-5 Gr Frozen</t>
  </si>
  <si>
    <t>SBL Dice 1 KG FZ Legit</t>
  </si>
  <si>
    <t>SBL DICE 10-15 G FZ</t>
  </si>
  <si>
    <t>BIL 5 Kg Frozen</t>
  </si>
  <si>
    <t>Thighstick Frozen Pack</t>
  </si>
  <si>
    <t>DRUMSTICK FRESH R/M</t>
  </si>
  <si>
    <t>Paha Bawah 500 Gram Frozen</t>
  </si>
  <si>
    <t>Drumstick Frozen Pack</t>
  </si>
  <si>
    <t>BB FRESH (R/M)</t>
  </si>
  <si>
    <t>SBB FRESH (R/M)</t>
  </si>
  <si>
    <t>SBB 1 Kg Fr Hachi Grill</t>
  </si>
  <si>
    <t>SBB Mitra 10 Kg</t>
  </si>
  <si>
    <t>SBB Dice (RM) Fresh</t>
  </si>
  <si>
    <t>SBB DICE 3 - 5 GR  FRESH</t>
  </si>
  <si>
    <t>Sayap 1 Kg Fr Hachi Grill</t>
  </si>
  <si>
    <t>Full Wing Frozen Pack</t>
  </si>
  <si>
    <t>Fullwing RM</t>
  </si>
  <si>
    <t>Fullwing Size 2,6 Up Fz</t>
  </si>
  <si>
    <t>Middle Wing 18-48/23-48 Gr Fresh (RM)</t>
  </si>
  <si>
    <t>Middle Wing 25-34 GR Fresh (RM)</t>
  </si>
  <si>
    <t>Middle Wing Frozen Pack</t>
  </si>
  <si>
    <t>Middle Wing 23-48 GR Frozen (RM)</t>
  </si>
  <si>
    <t>Wing Stick 18-48/23-48 Fresh (RM)</t>
  </si>
  <si>
    <t>Wing Stick 30-42 FRESH (R/M)</t>
  </si>
  <si>
    <t>Wing Stick 24-42/30-42 gr Frozen</t>
  </si>
  <si>
    <t>Wing Stick Frozen Pack</t>
  </si>
  <si>
    <t>FILLET FREESIZE FRESH (R/M)</t>
  </si>
  <si>
    <t>Fillet Mitra 10 Kg</t>
  </si>
  <si>
    <t>FILLET R/M 5 KG Frozen</t>
  </si>
  <si>
    <t>SKIN BB FRESH (R/M)</t>
  </si>
  <si>
    <t>SKIN BL FRESH (R/M)</t>
  </si>
  <si>
    <t>Kulit 1 Kg Fr Hachi Grill</t>
  </si>
  <si>
    <t>Skin 4 Kg</t>
  </si>
  <si>
    <t>Carcass</t>
  </si>
  <si>
    <t>Kerongkong 1 Kg Fr Hachi Grill</t>
  </si>
  <si>
    <t>RM SBB Dice 3-5 Gram Fz</t>
  </si>
  <si>
    <t>BL 100-110 THAI (BAKMI GM)</t>
  </si>
  <si>
    <t>CCM 10 KG FRESH</t>
  </si>
  <si>
    <t>CCM 10 KG FROZEN</t>
  </si>
  <si>
    <t>1BP CCM</t>
  </si>
  <si>
    <t>Beef Trimming FZ</t>
  </si>
  <si>
    <t>Beef 85 CL 5MM</t>
  </si>
  <si>
    <t>Beef Slice</t>
  </si>
  <si>
    <t>RM Beef Blade 20-30 G FR (5 Kg)</t>
  </si>
  <si>
    <t>RM Reject (BP)</t>
  </si>
  <si>
    <t>MDM NY FRESH (BREAST)</t>
  </si>
  <si>
    <t>111C0001</t>
  </si>
  <si>
    <t>MDM NY Beku 5 Kg (BREAST)</t>
  </si>
  <si>
    <t>Daging Giling Ayam Utuh FR</t>
  </si>
  <si>
    <t>1131000E</t>
  </si>
  <si>
    <t>Chicken Whole 800-900 G Fz Ismaya</t>
  </si>
  <si>
    <t>RM ATU</t>
  </si>
  <si>
    <t>Griller RM - &lt; 700 G</t>
  </si>
  <si>
    <t>Griller RM - 1 (700-799 G)</t>
  </si>
  <si>
    <t>Griller RM - 2 (800-899 G)</t>
  </si>
  <si>
    <t>Griller RM - A (900-999 G)</t>
  </si>
  <si>
    <t>Griller RM - B (1000-1099 G)</t>
  </si>
  <si>
    <t>Griller RM - C (1100-1199 G)</t>
  </si>
  <si>
    <t>Griller RM - D (1200-1299 G)</t>
  </si>
  <si>
    <t>Griller RM - E (1300-1399 G)</t>
  </si>
  <si>
    <t>Griller RM - F (1400-1499 G)</t>
  </si>
  <si>
    <t>Griller RM - GH (1500-1699 G)</t>
  </si>
  <si>
    <t>Griller RM - IJ (1700-1899 G)</t>
  </si>
  <si>
    <t>Griller RM - K UP (1900-UP G)</t>
  </si>
  <si>
    <t>GRILLER RM W/O WING FR</t>
  </si>
  <si>
    <t>UTUH H-Nest</t>
  </si>
  <si>
    <t>RM Chicken On Bone Cut 9 RF</t>
  </si>
  <si>
    <t>1188001E</t>
  </si>
  <si>
    <t>RM SBL DICE Bolognese fz</t>
  </si>
  <si>
    <t>BL DADA SKL H-Nest</t>
  </si>
  <si>
    <t>BL PAHA SKL H-Nest</t>
  </si>
  <si>
    <t>1188001H</t>
  </si>
  <si>
    <t>BL PAHA SKIN ON H-Nest</t>
  </si>
  <si>
    <t>1188002Y</t>
  </si>
  <si>
    <t>RM SBB Slice 50-60 G FR HANGRY</t>
  </si>
  <si>
    <t>1188003Q</t>
  </si>
  <si>
    <t>BL 95 - 115 G Fz Popolamama</t>
  </si>
  <si>
    <t>FW 90-100 G FZ POPOLAMAMA</t>
  </si>
  <si>
    <t>1188004E</t>
  </si>
  <si>
    <t>RM CHICKEN SKIN RF</t>
  </si>
  <si>
    <t>RM Chicken Wings RF</t>
  </si>
  <si>
    <t>Drumstick 85-95 G FR</t>
  </si>
  <si>
    <t>1188004J</t>
  </si>
  <si>
    <t>Fillet 5-8 G FR New</t>
  </si>
  <si>
    <t>P-10 Size D Fz Indomaret</t>
  </si>
  <si>
    <t>P-10 Size D Fz Indomaret Reject</t>
  </si>
  <si>
    <t>Family Mart P-10 New 1</t>
  </si>
  <si>
    <t>Family Mart P-10 New 1 Reject</t>
  </si>
  <si>
    <t>1195007BR0</t>
  </si>
  <si>
    <t>HANGRY DADA SLICE 50-60 G FZ Reject</t>
  </si>
  <si>
    <t>1195007R</t>
  </si>
  <si>
    <t>Hangry Dada Slice 50-60G FZ Pac</t>
  </si>
  <si>
    <t>Chicken On Bone Cut 9 Richeese Factory</t>
  </si>
  <si>
    <t>Chicken On Bone cut 9 RF Reject</t>
  </si>
  <si>
    <t>Chicken Carcass Cut 2 Richeese Factory</t>
  </si>
  <si>
    <t>Chicken Carcass Cut 2 RF Reject</t>
  </si>
  <si>
    <t>1195008O</t>
  </si>
  <si>
    <t>Chicken Skin Richeese Factory</t>
  </si>
  <si>
    <t>1195008OR0</t>
  </si>
  <si>
    <t>Chicken Skin  RF Reject</t>
  </si>
  <si>
    <t>Chicken Wings Richesee Factory</t>
  </si>
  <si>
    <t>Chicken Wings  RF Reject</t>
  </si>
  <si>
    <t>Chicken Carcass Cut 2 RicheeseFactory FR</t>
  </si>
  <si>
    <t>Chicken On Bone Cut 9 RicheeseFactory FR</t>
  </si>
  <si>
    <t>BL 100-110 THAI (BAKMI GM) Reject</t>
  </si>
  <si>
    <t>Ceker Ayam Fz Ismaya New</t>
  </si>
  <si>
    <t>Hati Ayam Fresh (Rumah Buah)</t>
  </si>
  <si>
    <t>Hati 1 Kg Fr Hachi Grill</t>
  </si>
  <si>
    <t>Griller Size G (1500-1600) Fresh</t>
  </si>
  <si>
    <t>Parting 10 Size D Fresh</t>
  </si>
  <si>
    <t>PARTING 12 SIZE C WO WING RM Fresh</t>
  </si>
  <si>
    <t>RM P-18 Size B FR</t>
  </si>
  <si>
    <t>BL BLOCK 15-25</t>
  </si>
  <si>
    <t>Paha Utuh Fresh (Rumah Buah)</t>
  </si>
  <si>
    <t>Bone In Leg Frozen Pack</t>
  </si>
  <si>
    <t>BIL FZ ABBQ</t>
  </si>
  <si>
    <t>THIGHSTICK FRESH R/M</t>
  </si>
  <si>
    <t>Paha Atas Fresh (Rumah Buah)</t>
  </si>
  <si>
    <t>Paha Bawah Fresh (Rumah Buah)</t>
  </si>
  <si>
    <t>Dada Utuh Fresh (Rumah Buah)</t>
  </si>
  <si>
    <t>Wing Stick Fresh (Rumah Buah)</t>
  </si>
  <si>
    <t>Skin BB/BL Frozen (32 Kg)</t>
  </si>
  <si>
    <t>Carcass Frozen</t>
  </si>
  <si>
    <t>RM Skin Neck Block Fresh</t>
  </si>
  <si>
    <t>1140000P</t>
  </si>
  <si>
    <t>Parting 9 Size A FR Hahapy Chicken</t>
  </si>
  <si>
    <t>1188002W</t>
  </si>
  <si>
    <t>Paha Atas 25-30 G FZ</t>
  </si>
  <si>
    <t>1188003D</t>
  </si>
  <si>
    <t>Paha Bawah 110-130 G FZ JCO New</t>
  </si>
  <si>
    <t>Fillet 18-36 G FR New</t>
  </si>
  <si>
    <t>P-10 JR FC</t>
  </si>
  <si>
    <t>P-10 JR FC Reject</t>
  </si>
  <si>
    <t>1195008A</t>
  </si>
  <si>
    <t>Chicken Kalasan RTC</t>
  </si>
  <si>
    <t>1195008AR0</t>
  </si>
  <si>
    <t>Chicken Kalasan RTC Reject</t>
  </si>
  <si>
    <t>Skin Carcass 4 KG Frozen (32Kg)</t>
  </si>
  <si>
    <t>Middle Wing 25 - 35 GR</t>
  </si>
  <si>
    <t>x</t>
  </si>
  <si>
    <t>Ceker 1 Kg Fresh</t>
  </si>
  <si>
    <t>Amplak Bersih 1 Kg Fresh</t>
  </si>
  <si>
    <t>Ampela Bersih Fr 5 KG</t>
  </si>
  <si>
    <t>Ampela Fz H-Nest</t>
  </si>
  <si>
    <t>Hati Bersih 1 Kg Fresh</t>
  </si>
  <si>
    <t>Jantung 1 Kg Fresh</t>
  </si>
  <si>
    <t>Hati Bersih Fr 5 KG</t>
  </si>
  <si>
    <t>Jantung Bersih Fr 5 KG</t>
  </si>
  <si>
    <t>Hati Fz H-Nest</t>
  </si>
  <si>
    <t>Jantung Fz H-Nest</t>
  </si>
  <si>
    <t>Griller (PR) Size Z Frz</t>
  </si>
  <si>
    <t>Griller Size E (1300-1400 G) Special Ord</t>
  </si>
  <si>
    <t>Griller Size B Frozen (20-22 Kg)</t>
  </si>
  <si>
    <t>Parting 10 RM Fresh I Am Bensu</t>
  </si>
  <si>
    <t>CUT-10 H-Nest</t>
  </si>
  <si>
    <t>BL Fr 5 KG</t>
  </si>
  <si>
    <t>SBL Dicerm Chicken Bolognese</t>
  </si>
  <si>
    <t>Paha Utuh 500 Gram Frozen</t>
  </si>
  <si>
    <t>Paha Atas Fr 5 KG</t>
  </si>
  <si>
    <t>Paha Bawah Fr 5 KG</t>
  </si>
  <si>
    <t>SBB 1Kg Fresh</t>
  </si>
  <si>
    <t>Sayap Utuh Fr 5 KG</t>
  </si>
  <si>
    <t>Fullwing Fz H-Nest</t>
  </si>
  <si>
    <t>Fillet Dada FR 5 KG</t>
  </si>
  <si>
    <t>C. TENDERLOIN H-Nest</t>
  </si>
  <si>
    <t>MC Delica Paha Atas Boneless</t>
  </si>
  <si>
    <t>BL 120-150 GR FZ (ISMAYA)</t>
  </si>
  <si>
    <t>SBB 60-70 G FZ ISMAYA</t>
  </si>
  <si>
    <t>PARTING 10 I Am Bensu</t>
  </si>
  <si>
    <t>PFM P-10 Marinasi Frozen (PAC)</t>
  </si>
  <si>
    <t>PAHA ATAS H-Nest</t>
  </si>
  <si>
    <t>PAHA BAWAH H-Nest</t>
  </si>
  <si>
    <t>PAHA UTUH H-Nest</t>
  </si>
  <si>
    <t>SBL 6-8 G Fz Ismaya</t>
  </si>
  <si>
    <t>BL Dice 15-20 G FZ MC Delica</t>
  </si>
  <si>
    <t>Middle Wing Fr 5 KG</t>
  </si>
  <si>
    <t>Wing Stick Fr 5 KG</t>
  </si>
  <si>
    <t>PFM P-10 Marinasi Frozen (PAC) Reject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</si>
</sst>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B0D54-91D9-4B52-845A-80FF816676CD}">
  <sheetPr filterMode="1"/>
  <dimension ref="A1:B168"/>
  <sheetViews>
    <sheetView topLeftCell="A113" workbookViewId="0">
      <selection activeCell="A28" sqref="A28:A166"/>
    </sheetView>
  </sheetViews>
  <sheetFormatPr defaultRowHeight="15" x14ac:dyDescent="0.25"/>
  <sheetData>
    <row r="1" spans="1:2" x14ac:dyDescent="0.25">
      <c r="A1" t="s">
        <v>259</v>
      </c>
      <c r="B1" t="s">
        <v>259</v>
      </c>
    </row>
    <row r="2" spans="1:2" hidden="1" x14ac:dyDescent="0.25">
      <c r="A2">
        <v>11290001</v>
      </c>
      <c r="B2" t="str">
        <f>VLOOKUP(A2,'Master MAKT'!B:C,2,0)</f>
        <v>Empedu</v>
      </c>
    </row>
    <row r="3" spans="1:2" hidden="1" x14ac:dyDescent="0.25">
      <c r="A3">
        <v>11160004</v>
      </c>
      <c r="B3" t="str">
        <f>VLOOKUP(A3,'Master MAKT'!B:C,2,0)</f>
        <v>Serpihan BP</v>
      </c>
    </row>
    <row r="4" spans="1:2" hidden="1" x14ac:dyDescent="0.25">
      <c r="A4">
        <v>11170002</v>
      </c>
      <c r="B4" t="str">
        <f>VLOOKUP(A4,'Master MAKT'!B:C,2,0)</f>
        <v>Tembolok 10 Kg</v>
      </c>
    </row>
    <row r="5" spans="1:2" hidden="1" x14ac:dyDescent="0.25">
      <c r="A5">
        <v>11100001</v>
      </c>
      <c r="B5" t="str">
        <f>VLOOKUP(A5,'Master MAKT'!B:C,2,0)</f>
        <v>Head 10 Kg</v>
      </c>
    </row>
    <row r="6" spans="1:2" hidden="1" x14ac:dyDescent="0.25">
      <c r="A6">
        <v>11120001</v>
      </c>
      <c r="B6" t="str">
        <f>VLOOKUP(A6,'Master MAKT'!B:C,2,0)</f>
        <v>Usus 10 Kg Fresh</v>
      </c>
    </row>
    <row r="7" spans="1:2" hidden="1" x14ac:dyDescent="0.25">
      <c r="A7">
        <v>11130001</v>
      </c>
      <c r="B7" t="str">
        <f>VLOOKUP(A7,'Master MAKT'!B:C,2,0)</f>
        <v>Hati + Ampla (Giblet) Fresh</v>
      </c>
    </row>
    <row r="8" spans="1:2" hidden="1" x14ac:dyDescent="0.25">
      <c r="A8">
        <v>11110020</v>
      </c>
      <c r="B8" t="str">
        <f>VLOOKUP(A8,'Master MAKT'!B:C,2,0)</f>
        <v>Ceker tanpa Kuku 1 Kg Fr Hachi Grill</v>
      </c>
    </row>
    <row r="9" spans="1:2" hidden="1" x14ac:dyDescent="0.25">
      <c r="A9">
        <v>11140014</v>
      </c>
      <c r="B9" t="str">
        <f>VLOOKUP(A9,'Master MAKT'!B:C,2,0)</f>
        <v>Ampela 1 Kg Fr Hachi Grill</v>
      </c>
    </row>
    <row r="10" spans="1:2" hidden="1" x14ac:dyDescent="0.25">
      <c r="A10">
        <v>11150028</v>
      </c>
      <c r="B10" t="str">
        <f>VLOOKUP(A10,'Master MAKT'!B:C,2,0)</f>
        <v>Hati 1 Kg Fr Hachi Grill</v>
      </c>
    </row>
    <row r="11" spans="1:2" hidden="1" x14ac:dyDescent="0.25">
      <c r="A11">
        <v>11190001</v>
      </c>
      <c r="B11" t="str">
        <f>VLOOKUP(A11,'Master MAKT'!B:C,2,0)</f>
        <v>Skin neck RM Fresh</v>
      </c>
    </row>
    <row r="12" spans="1:2" hidden="1" x14ac:dyDescent="0.25">
      <c r="A12">
        <v>11300007</v>
      </c>
      <c r="B12" t="str">
        <f>VLOOKUP(A12,'Master MAKT'!B:C,2,0)</f>
        <v>Griller Size 2 (800-900 G) (10 E) Fresh</v>
      </c>
    </row>
    <row r="13" spans="1:2" hidden="1" x14ac:dyDescent="0.25">
      <c r="A13">
        <v>11320006</v>
      </c>
      <c r="B13" t="str">
        <f>VLOOKUP(A13,'Master MAKT'!B:C,2,0)</f>
        <v>Griller Size A (900-1000 G) General</v>
      </c>
    </row>
    <row r="14" spans="1:2" hidden="1" x14ac:dyDescent="0.25">
      <c r="A14">
        <v>11200001</v>
      </c>
      <c r="B14" t="str">
        <f>VLOOKUP(A14,'Master MAKT'!B:C,2,0)</f>
        <v>Tunggir</v>
      </c>
    </row>
    <row r="15" spans="1:2" hidden="1" x14ac:dyDescent="0.25">
      <c r="A15">
        <v>11760003</v>
      </c>
      <c r="B15" t="str">
        <f>VLOOKUP(A15,'Master MAKT'!B:C,2,0)</f>
        <v>SKIN BB FRESH (R/M)</v>
      </c>
    </row>
    <row r="16" spans="1:2" hidden="1" x14ac:dyDescent="0.25">
      <c r="A16">
        <v>11690001</v>
      </c>
      <c r="B16" t="str">
        <f>VLOOKUP(A16,'Master MAKT'!B:C,2,0)</f>
        <v>SBB FRESH (R/M)</v>
      </c>
    </row>
    <row r="17" spans="1:2" hidden="1" x14ac:dyDescent="0.25">
      <c r="A17">
        <v>11670002</v>
      </c>
      <c r="B17" t="str">
        <f>VLOOKUP(A17,'Master MAKT'!B:C,2,0)</f>
        <v>BB FRESH (R/M)</v>
      </c>
    </row>
    <row r="18" spans="1:2" hidden="1" x14ac:dyDescent="0.25">
      <c r="A18">
        <v>11760004</v>
      </c>
      <c r="B18" t="str">
        <f>VLOOKUP(A18,'Master MAKT'!B:C,2,0)</f>
        <v>SKIN BL FRESH (R/M)</v>
      </c>
    </row>
    <row r="19" spans="1:2" hidden="1" x14ac:dyDescent="0.25">
      <c r="A19">
        <v>11690014</v>
      </c>
      <c r="B19" t="str">
        <f>VLOOKUP(A19,'Master MAKT'!B:C,2,0)</f>
        <v>SBB 1 Kg Fr Hachi Grill</v>
      </c>
    </row>
    <row r="20" spans="1:2" hidden="1" x14ac:dyDescent="0.25">
      <c r="A20">
        <v>11620014</v>
      </c>
      <c r="B20" t="str">
        <f>VLOOKUP(A20,'Master MAKT'!B:C,2,0)</f>
        <v>SBL 1 Kg Fr Hachi Grill</v>
      </c>
    </row>
    <row r="21" spans="1:2" hidden="1" x14ac:dyDescent="0.25">
      <c r="A21">
        <v>11770014</v>
      </c>
      <c r="B21" t="str">
        <f>VLOOKUP(A21,'Master MAKT'!B:C,2,0)</f>
        <v>Kerongkong 1 Kg Fr Hachi Grill</v>
      </c>
    </row>
    <row r="22" spans="1:2" hidden="1" x14ac:dyDescent="0.25">
      <c r="A22">
        <v>11230001</v>
      </c>
      <c r="B22" t="str">
        <f>VLOOKUP(A22,'Master MAKT'!B:C,2,0)</f>
        <v>Fat Carcass Fresh</v>
      </c>
    </row>
    <row r="23" spans="1:2" hidden="1" x14ac:dyDescent="0.25">
      <c r="A23">
        <v>11270004</v>
      </c>
      <c r="B23" t="str">
        <f>VLOOKUP(A23,'Master MAKT'!B:C,2,0)</f>
        <v>Scrap/Knee Bone</v>
      </c>
    </row>
    <row r="24" spans="1:2" hidden="1" x14ac:dyDescent="0.25">
      <c r="A24">
        <v>11270002</v>
      </c>
      <c r="B24" t="str">
        <f>VLOOKUP(A24,'Master MAKT'!B:C,2,0)</f>
        <v>Thigh Bone</v>
      </c>
    </row>
    <row r="25" spans="1:2" hidden="1" x14ac:dyDescent="0.25">
      <c r="A25">
        <v>11270001</v>
      </c>
      <c r="B25" t="str">
        <f>VLOOKUP(A25,'Master MAKT'!B:C,2,0)</f>
        <v>Drum  Bone</v>
      </c>
    </row>
    <row r="26" spans="1:2" hidden="1" x14ac:dyDescent="0.25">
      <c r="A26">
        <v>11720022</v>
      </c>
      <c r="B26" t="str">
        <f>VLOOKUP(A26,'Master MAKT'!B:C,2,0)</f>
        <v>Sayap 1 Kg Fr Hachi Grill</v>
      </c>
    </row>
    <row r="27" spans="1:2" hidden="1" x14ac:dyDescent="0.25">
      <c r="A27">
        <v>11280001</v>
      </c>
      <c r="B27" t="str">
        <f>VLOOKUP(A27,'Master MAKT'!B:C,2,0)</f>
        <v>Wing Tip</v>
      </c>
    </row>
    <row r="28" spans="1:2" x14ac:dyDescent="0.25">
      <c r="A28">
        <v>11320021</v>
      </c>
      <c r="B28" t="str">
        <f>VLOOKUP(A28,'Master MAKT'!B:C,2,0)</f>
        <v>Griller Size E (1300-1400 G) Special Ord</v>
      </c>
    </row>
    <row r="29" spans="1:2" hidden="1" x14ac:dyDescent="0.25">
      <c r="A29">
        <v>11340049</v>
      </c>
      <c r="B29" t="str">
        <f>VLOOKUP(A29,'Master MAKT'!B:C,2,0)</f>
        <v>Griller UP 1,7 Frozen</v>
      </c>
    </row>
    <row r="30" spans="1:2" hidden="1" x14ac:dyDescent="0.25">
      <c r="A30">
        <v>11690053</v>
      </c>
      <c r="B30" t="str">
        <f>VLOOKUP(A30,'Master MAKT'!B:C,2,0)</f>
        <v>SBB Mitra 10 Kg</v>
      </c>
    </row>
    <row r="31" spans="1:2" hidden="1" x14ac:dyDescent="0.25">
      <c r="A31">
        <v>11750015</v>
      </c>
      <c r="B31" t="str">
        <f>VLOOKUP(A31,'Master MAKT'!B:C,2,0)</f>
        <v>FILLET FREESIZE FRESH (R/M)</v>
      </c>
    </row>
    <row r="32" spans="1:2" hidden="1" x14ac:dyDescent="0.25">
      <c r="A32">
        <v>11600003</v>
      </c>
      <c r="B32" t="str">
        <f>VLOOKUP(A32,'Master MAKT'!B:C,2,0)</f>
        <v>BL FRESH (R/M)</v>
      </c>
    </row>
    <row r="33" spans="1:2" hidden="1" x14ac:dyDescent="0.25">
      <c r="A33">
        <v>11620008</v>
      </c>
      <c r="B33" t="str">
        <f>VLOOKUP(A33,'Master MAKT'!B:C,2,0)</f>
        <v>SBL FRESH (R/M)</v>
      </c>
    </row>
    <row r="34" spans="1:2" hidden="1" x14ac:dyDescent="0.25">
      <c r="A34">
        <v>11720055</v>
      </c>
      <c r="B34" t="str">
        <f>VLOOKUP(A34,'Master MAKT'!B:C,2,0)</f>
        <v>Full Wing Frozen Pack</v>
      </c>
    </row>
    <row r="35" spans="1:2" hidden="1" x14ac:dyDescent="0.25">
      <c r="A35">
        <v>11650053</v>
      </c>
      <c r="B35" t="str">
        <f>VLOOKUP(A35,'Master MAKT'!B:C,2,0)</f>
        <v>Thighstick Frozen Pack</v>
      </c>
    </row>
    <row r="36" spans="1:2" hidden="1" x14ac:dyDescent="0.25">
      <c r="A36">
        <v>11740003</v>
      </c>
      <c r="B36" t="str">
        <f>VLOOKUP(A36,'Master MAKT'!B:C,2,0)</f>
        <v>Wing Stick 30-42 FRESH (R/M)</v>
      </c>
    </row>
    <row r="37" spans="1:2" hidden="1" x14ac:dyDescent="0.25">
      <c r="A37">
        <v>11730004</v>
      </c>
      <c r="B37" t="str">
        <f>VLOOKUP(A37,'Master MAKT'!B:C,2,0)</f>
        <v>Middle Wing 25-34 GR Fresh (RM)</v>
      </c>
    </row>
    <row r="38" spans="1:2" hidden="1" x14ac:dyDescent="0.25">
      <c r="A38" t="s">
        <v>0</v>
      </c>
      <c r="B38" t="str">
        <f>VLOOKUP(A38,'Master MAKT'!B:C,2,0)</f>
        <v>FW 90-100 G FZ POPOLAMAMA</v>
      </c>
    </row>
    <row r="39" spans="1:2" hidden="1" x14ac:dyDescent="0.25">
      <c r="A39">
        <v>11740052</v>
      </c>
      <c r="B39" t="str">
        <f>VLOOKUP(A39,'Master MAKT'!B:C,2,0)</f>
        <v>Wing Stick Frozen Pack</v>
      </c>
    </row>
    <row r="40" spans="1:2" hidden="1" x14ac:dyDescent="0.25">
      <c r="A40">
        <v>11730050</v>
      </c>
      <c r="B40" t="str">
        <f>VLOOKUP(A40,'Master MAKT'!B:C,2,0)</f>
        <v>Middle Wing Frozen Pack</v>
      </c>
    </row>
    <row r="41" spans="1:2" hidden="1" x14ac:dyDescent="0.25">
      <c r="A41">
        <v>11730003</v>
      </c>
      <c r="B41" t="str">
        <f>VLOOKUP(A41,'Master MAKT'!B:C,2,0)</f>
        <v>Middle Wing 18-48/23-48 Gr Fresh (RM)</v>
      </c>
    </row>
    <row r="42" spans="1:2" hidden="1" x14ac:dyDescent="0.25">
      <c r="A42">
        <v>11740002</v>
      </c>
      <c r="B42" t="str">
        <f>VLOOKUP(A42,'Master MAKT'!B:C,2,0)</f>
        <v>Wing Stick 18-48/23-48 Fresh (RM)</v>
      </c>
    </row>
    <row r="43" spans="1:2" hidden="1" x14ac:dyDescent="0.25">
      <c r="A43">
        <v>11110006</v>
      </c>
      <c r="B43" t="str">
        <f>VLOOKUP(A43,'Master MAKT'!B:C,2,0)</f>
        <v>Ceker By Product Fresh</v>
      </c>
    </row>
    <row r="44" spans="1:2" hidden="1" x14ac:dyDescent="0.25">
      <c r="A44">
        <v>11960001</v>
      </c>
      <c r="B44" t="str">
        <f>VLOOKUP(A44,'Master MAKT'!B:C,2,0)</f>
        <v>CCM 10 KG FRESH</v>
      </c>
    </row>
    <row r="45" spans="1:2" hidden="1" x14ac:dyDescent="0.25">
      <c r="A45" t="s">
        <v>1</v>
      </c>
      <c r="B45" t="str">
        <f>VLOOKUP(A45,'Master MAKT'!B:C,2,0)</f>
        <v>MDM NY FRESH (BREAST)</v>
      </c>
    </row>
    <row r="46" spans="1:2" hidden="1" x14ac:dyDescent="0.25">
      <c r="A46">
        <v>11970002</v>
      </c>
      <c r="B46" t="str">
        <f>VLOOKUP(A46,'Master MAKT'!B:C,2,0)</f>
        <v>1BP CCM</v>
      </c>
    </row>
    <row r="47" spans="1:2" hidden="1" x14ac:dyDescent="0.25">
      <c r="A47">
        <v>11320012</v>
      </c>
      <c r="B47" t="str">
        <f>VLOOKUP(A47,'Master MAKT'!B:C,2,0)</f>
        <v>Griller Size C (1100-1200 G) General</v>
      </c>
    </row>
    <row r="48" spans="1:2" hidden="1" x14ac:dyDescent="0.25">
      <c r="A48">
        <v>11260001</v>
      </c>
      <c r="B48" t="str">
        <f>VLOOKUP(A48,'Master MAKT'!B:C,2,0)</f>
        <v>Daging Potong BB (RM)</v>
      </c>
    </row>
    <row r="49" spans="1:2" hidden="1" x14ac:dyDescent="0.25">
      <c r="A49" t="s">
        <v>2</v>
      </c>
      <c r="B49" t="str">
        <f>VLOOKUP(A49,'Master MAKT'!B:C,2,0)</f>
        <v>RM Reject (BP)</v>
      </c>
    </row>
    <row r="50" spans="1:2" hidden="1" x14ac:dyDescent="0.25">
      <c r="A50" t="s">
        <v>3</v>
      </c>
      <c r="B50" t="str">
        <f>VLOOKUP(A50,'Master MAKT'!B:C,2,0)</f>
        <v>Daging Giling Ayam Utuh FR</v>
      </c>
    </row>
    <row r="51" spans="1:2" hidden="1" x14ac:dyDescent="0.25">
      <c r="A51">
        <v>11620056</v>
      </c>
      <c r="B51" t="str">
        <f>VLOOKUP(A51,'Master MAKT'!B:C,2,0)</f>
        <v>SBL Mitra  10 Kg</v>
      </c>
    </row>
    <row r="52" spans="1:2" hidden="1" x14ac:dyDescent="0.25">
      <c r="A52">
        <v>11240050</v>
      </c>
      <c r="B52" t="str">
        <f>VLOOKUP(A52,'Master MAKT'!B:C,2,0)</f>
        <v>Skin Carcass 4 KG Frozen</v>
      </c>
    </row>
    <row r="53" spans="1:2" hidden="1" x14ac:dyDescent="0.25">
      <c r="A53">
        <v>11310013</v>
      </c>
      <c r="B53" t="str">
        <f>VLOOKUP(A53,'Master MAKT'!B:C,2,0)</f>
        <v>Griller Size 1 ( 30 Ekor ) Frozen</v>
      </c>
    </row>
    <row r="54" spans="1:2" hidden="1" x14ac:dyDescent="0.25">
      <c r="A54">
        <v>11150068</v>
      </c>
      <c r="B54" t="str">
        <f>VLOOKUP(A54,'Master MAKT'!B:C,2,0)</f>
        <v>Hati 5 Kg Fz</v>
      </c>
    </row>
    <row r="55" spans="1:2" x14ac:dyDescent="0.25">
      <c r="A55">
        <v>11150066</v>
      </c>
      <c r="B55" t="str">
        <f>VLOOKUP(A55,'Master MAKT'!B:C,2,0)</f>
        <v>Hati Fz H-Nest</v>
      </c>
    </row>
    <row r="56" spans="1:2" x14ac:dyDescent="0.25">
      <c r="A56">
        <v>11150067</v>
      </c>
      <c r="B56" t="str">
        <f>VLOOKUP(A56,'Master MAKT'!B:C,2,0)</f>
        <v>Jantung Fz H-Nest</v>
      </c>
    </row>
    <row r="57" spans="1:2" x14ac:dyDescent="0.25">
      <c r="A57">
        <v>11140063</v>
      </c>
      <c r="B57" t="str">
        <f>VLOOKUP(A57,'Master MAKT'!B:C,2,0)</f>
        <v>Ampela Fz H-Nest</v>
      </c>
    </row>
    <row r="58" spans="1:2" hidden="1" x14ac:dyDescent="0.25">
      <c r="A58">
        <v>11190050</v>
      </c>
      <c r="B58" t="str">
        <f>VLOOKUP(A58,'Master MAKT'!B:C,2,0)</f>
        <v>Tulang Leher 5 Kg Frozen</v>
      </c>
    </row>
    <row r="59" spans="1:2" hidden="1" x14ac:dyDescent="0.25">
      <c r="A59">
        <v>11110074</v>
      </c>
      <c r="B59" t="str">
        <f>VLOOKUP(A59,'Master MAKT'!B:C,2,0)</f>
        <v>Ceker 1 KG Frozen</v>
      </c>
    </row>
    <row r="60" spans="1:2" hidden="1" x14ac:dyDescent="0.25">
      <c r="A60">
        <v>11140062</v>
      </c>
      <c r="B60" t="str">
        <f>VLOOKUP(A60,'Master MAKT'!B:C,2,0)</f>
        <v>Ampela 1 KG Frozen</v>
      </c>
    </row>
    <row r="61" spans="1:2" hidden="1" x14ac:dyDescent="0.25">
      <c r="A61">
        <v>11150064</v>
      </c>
      <c r="B61" t="str">
        <f>VLOOKUP(A61,'Master MAKT'!B:C,2,0)</f>
        <v>Hati 1 KG Frozen</v>
      </c>
    </row>
    <row r="62" spans="1:2" hidden="1" x14ac:dyDescent="0.25">
      <c r="A62">
        <v>11150065</v>
      </c>
      <c r="B62" t="str">
        <f>VLOOKUP(A62,'Master MAKT'!B:C,2,0)</f>
        <v>Jantung 1 KG Frozen</v>
      </c>
    </row>
    <row r="63" spans="1:2" hidden="1" x14ac:dyDescent="0.25">
      <c r="A63">
        <v>11110051</v>
      </c>
      <c r="B63" t="str">
        <f>VLOOKUP(A63,'Master MAKT'!B:C,2,0)</f>
        <v>Ceker By Product 5 Kg Frozen</v>
      </c>
    </row>
    <row r="64" spans="1:2" x14ac:dyDescent="0.25">
      <c r="A64">
        <v>11410081</v>
      </c>
      <c r="B64" t="str">
        <f>VLOOKUP(A64,'Master MAKT'!B:C,2,0)</f>
        <v>CUT-10 H-Nest</v>
      </c>
    </row>
    <row r="65" spans="1:2" x14ac:dyDescent="0.25">
      <c r="A65">
        <v>11410008</v>
      </c>
      <c r="B65" t="str">
        <f>VLOOKUP(A65,'Master MAKT'!B:C,2,0)</f>
        <v>Parting 10 RM Fresh I Am Bensu</v>
      </c>
    </row>
    <row r="66" spans="1:2" hidden="1" x14ac:dyDescent="0.25">
      <c r="A66" t="s">
        <v>4</v>
      </c>
      <c r="B66" t="str">
        <f>VLOOKUP(A66,'Master MAKT'!B:C,2,0)</f>
        <v>RM Chicken On Bone Cut 9 RF</v>
      </c>
    </row>
    <row r="67" spans="1:2" hidden="1" x14ac:dyDescent="0.25">
      <c r="A67">
        <v>11410062</v>
      </c>
      <c r="B67" t="str">
        <f>VLOOKUP(A67,'Master MAKT'!B:C,2,0)</f>
        <v>RM P-10 Size B-C Fresh</v>
      </c>
    </row>
    <row r="68" spans="1:2" hidden="1" x14ac:dyDescent="0.25">
      <c r="A68">
        <v>11410032</v>
      </c>
      <c r="B68" t="str">
        <f>VLOOKUP(A68,'Master MAKT'!B:C,2,0)</f>
        <v>RM P-10 JRFC</v>
      </c>
    </row>
    <row r="69" spans="1:2" hidden="1" x14ac:dyDescent="0.25">
      <c r="A69">
        <v>11530011</v>
      </c>
      <c r="B69" t="str">
        <f>VLOOKUP(A69,'Master MAKT'!B:C,2,0)</f>
        <v>RM Chicken Carcass Cut 2 RF</v>
      </c>
    </row>
    <row r="70" spans="1:2" hidden="1" x14ac:dyDescent="0.25">
      <c r="A70">
        <v>19020002</v>
      </c>
      <c r="B70" t="str">
        <f>VLOOKUP(A70,'Master MAKT'!B:C,2,0)</f>
        <v>Beef Trimming FZ</v>
      </c>
    </row>
    <row r="71" spans="1:2" x14ac:dyDescent="0.25">
      <c r="A71">
        <v>11720091</v>
      </c>
      <c r="B71" t="str">
        <f>VLOOKUP(A71,'Master MAKT'!B:C,2,0)</f>
        <v>Fullwing Fz H-Nest</v>
      </c>
    </row>
    <row r="72" spans="1:2" hidden="1" x14ac:dyDescent="0.25">
      <c r="A72">
        <v>11280005</v>
      </c>
      <c r="B72" t="str">
        <f>VLOOKUP(A72,'Master MAKT'!B:C,2,0)</f>
        <v>FULLWING REJECT</v>
      </c>
    </row>
    <row r="73" spans="1:2" x14ac:dyDescent="0.25">
      <c r="A73">
        <v>11600009</v>
      </c>
      <c r="B73" t="str">
        <f>VLOOKUP(A73,'Master MAKT'!B:C,2,0)</f>
        <v>BL Fr 5 KG</v>
      </c>
    </row>
    <row r="74" spans="1:2" x14ac:dyDescent="0.25">
      <c r="A74">
        <v>11690011</v>
      </c>
      <c r="B74" t="str">
        <f>VLOOKUP(A74,'Master MAKT'!B:C,2,0)</f>
        <v>SBB 1Kg Fresh</v>
      </c>
    </row>
    <row r="75" spans="1:2" x14ac:dyDescent="0.25">
      <c r="A75">
        <v>11650018</v>
      </c>
      <c r="B75" t="str">
        <f>VLOOKUP(A75,'Master MAKT'!B:C,2,0)</f>
        <v>Paha Atas Fr 5 KG</v>
      </c>
    </row>
    <row r="76" spans="1:2" x14ac:dyDescent="0.25">
      <c r="A76">
        <v>11660020</v>
      </c>
      <c r="B76" t="str">
        <f>VLOOKUP(A76,'Master MAKT'!B:C,2,0)</f>
        <v>Paha Bawah Fr 5 KG</v>
      </c>
    </row>
    <row r="77" spans="1:2" x14ac:dyDescent="0.25">
      <c r="A77">
        <v>11720024</v>
      </c>
      <c r="B77" t="str">
        <f>VLOOKUP(A77,'Master MAKT'!B:C,2,0)</f>
        <v>Sayap Utuh Fr 5 KG</v>
      </c>
    </row>
    <row r="78" spans="1:2" hidden="1" x14ac:dyDescent="0.25">
      <c r="A78">
        <v>11310012</v>
      </c>
      <c r="B78" t="str">
        <f>VLOOKUP(A78,'Master MAKT'!B:C,2,0)</f>
        <v>Griller Size 0 ( 40 Ekor ) Frozen</v>
      </c>
    </row>
    <row r="79" spans="1:2" x14ac:dyDescent="0.25">
      <c r="A79">
        <v>11750059</v>
      </c>
      <c r="B79" t="str">
        <f>VLOOKUP(A79,'Master MAKT'!B:C,2,0)</f>
        <v>C. TENDERLOIN H-Nest</v>
      </c>
    </row>
    <row r="80" spans="1:2" hidden="1" x14ac:dyDescent="0.25">
      <c r="A80">
        <v>11320009</v>
      </c>
      <c r="B80" t="str">
        <f>VLOOKUP(A80,'Master MAKT'!B:C,2,0)</f>
        <v>Griller Size B (1000-1100 G) General</v>
      </c>
    </row>
    <row r="81" spans="1:2" x14ac:dyDescent="0.25">
      <c r="A81" t="s">
        <v>5</v>
      </c>
      <c r="B81" t="str">
        <f>VLOOKUP(A81,'Master MAKT'!B:C,2,0)</f>
        <v>Middle Wing Fr 5 KG</v>
      </c>
    </row>
    <row r="82" spans="1:2" x14ac:dyDescent="0.25">
      <c r="A82" t="s">
        <v>6</v>
      </c>
      <c r="B82" t="str">
        <f>VLOOKUP(A82,'Master MAKT'!B:C,2,0)</f>
        <v>Wing Stick Fr 5 KG</v>
      </c>
    </row>
    <row r="83" spans="1:2" hidden="1" x14ac:dyDescent="0.25">
      <c r="A83">
        <v>11410085</v>
      </c>
      <c r="B83" t="str">
        <f>VLOOKUP(A83,'Master MAKT'!B:C,2,0)</f>
        <v>RM P-10 Size D Fr Indomaret</v>
      </c>
    </row>
    <row r="84" spans="1:2" hidden="1" x14ac:dyDescent="0.25">
      <c r="A84">
        <v>11420009</v>
      </c>
      <c r="B84" t="str">
        <f>VLOOKUP(A84,'Master MAKT'!B:C,2,0)</f>
        <v>PARTING 12 SIZE C WO WING RM Fresh</v>
      </c>
    </row>
    <row r="85" spans="1:2" hidden="1" x14ac:dyDescent="0.25">
      <c r="A85" t="s">
        <v>7</v>
      </c>
      <c r="B85" t="str">
        <f>VLOOKUP(A85,'Master MAKT'!B:C,2,0)</f>
        <v>RM Chicken Wings RF</v>
      </c>
    </row>
    <row r="86" spans="1:2" hidden="1" x14ac:dyDescent="0.25">
      <c r="A86">
        <v>9903006</v>
      </c>
      <c r="B86" t="str">
        <f>VLOOKUP(A86,'Master MAKT'!B:C,2,0)</f>
        <v>Darah</v>
      </c>
    </row>
    <row r="87" spans="1:2" hidden="1" x14ac:dyDescent="0.25">
      <c r="A87">
        <v>9903005</v>
      </c>
      <c r="B87" t="str">
        <f>VLOOKUP(A87,'Master MAKT'!B:C,2,0)</f>
        <v>Bulu</v>
      </c>
    </row>
    <row r="88" spans="1:2" hidden="1" x14ac:dyDescent="0.25">
      <c r="A88">
        <v>9903009</v>
      </c>
      <c r="B88" t="str">
        <f>VLOOKUP(A88,'Master MAKT'!B:C,2,0)</f>
        <v>Isi Ampela Fresh</v>
      </c>
    </row>
    <row r="89" spans="1:2" hidden="1" x14ac:dyDescent="0.25">
      <c r="A89">
        <v>9903008</v>
      </c>
      <c r="B89" t="str">
        <f>VLOOKUP(A89,'Master MAKT'!B:C,2,0)</f>
        <v>Yellow Skin</v>
      </c>
    </row>
    <row r="90" spans="1:2" hidden="1" x14ac:dyDescent="0.25">
      <c r="A90">
        <v>11320014</v>
      </c>
      <c r="B90" t="str">
        <f>VLOOKUP(A90,'Master MAKT'!B:C,2,0)</f>
        <v>Griller Size D (1200-1300 G) General</v>
      </c>
    </row>
    <row r="91" spans="1:2" x14ac:dyDescent="0.25">
      <c r="A91">
        <v>11110002</v>
      </c>
      <c r="B91" t="str">
        <f>VLOOKUP(A91,'Master MAKT'!B:C,2,0)</f>
        <v>Ceker 1 Kg Fresh</v>
      </c>
    </row>
    <row r="92" spans="1:2" x14ac:dyDescent="0.25">
      <c r="A92">
        <v>11150004</v>
      </c>
      <c r="B92" t="str">
        <f>VLOOKUP(A92,'Master MAKT'!B:C,2,0)</f>
        <v>Hati Bersih 1 Kg Fresh</v>
      </c>
    </row>
    <row r="93" spans="1:2" x14ac:dyDescent="0.25">
      <c r="A93">
        <v>11140003</v>
      </c>
      <c r="B93" t="str">
        <f>VLOOKUP(A93,'Master MAKT'!B:C,2,0)</f>
        <v>Amplak Bersih 1 Kg Fresh</v>
      </c>
    </row>
    <row r="94" spans="1:2" x14ac:dyDescent="0.25">
      <c r="A94">
        <v>11150007</v>
      </c>
      <c r="B94" t="str">
        <f>VLOOKUP(A94,'Master MAKT'!B:C,2,0)</f>
        <v>Jantung 1 Kg Fresh</v>
      </c>
    </row>
    <row r="95" spans="1:2" hidden="1" x14ac:dyDescent="0.25">
      <c r="A95" t="s">
        <v>8</v>
      </c>
      <c r="B95" t="str">
        <f>VLOOKUP(A95,'Master MAKT'!B:C,2,0)</f>
        <v>Griller RM - F (1400-1499 G)</v>
      </c>
    </row>
    <row r="96" spans="1:2" hidden="1" x14ac:dyDescent="0.25">
      <c r="A96" t="s">
        <v>9</v>
      </c>
      <c r="B96" t="str">
        <f>VLOOKUP(A96,'Master MAKT'!B:C,2,0)</f>
        <v>Griller RM - C (1100-1199 G)</v>
      </c>
    </row>
    <row r="97" spans="1:2" hidden="1" x14ac:dyDescent="0.25">
      <c r="A97" t="s">
        <v>10</v>
      </c>
      <c r="B97" t="str">
        <f>VLOOKUP(A97,'Master MAKT'!B:C,2,0)</f>
        <v>Griller RM - D (1200-1299 G)</v>
      </c>
    </row>
    <row r="98" spans="1:2" hidden="1" x14ac:dyDescent="0.25">
      <c r="A98" t="s">
        <v>11</v>
      </c>
      <c r="B98" t="str">
        <f>VLOOKUP(A98,'Master MAKT'!B:C,2,0)</f>
        <v>Griller RM - 1 (700-799 G)</v>
      </c>
    </row>
    <row r="99" spans="1:2" hidden="1" x14ac:dyDescent="0.25">
      <c r="A99" t="s">
        <v>12</v>
      </c>
      <c r="B99" t="str">
        <f>VLOOKUP(A99,'Master MAKT'!B:C,2,0)</f>
        <v>Griller RM - B (1000-1099 G)</v>
      </c>
    </row>
    <row r="100" spans="1:2" hidden="1" x14ac:dyDescent="0.25">
      <c r="A100" t="s">
        <v>13</v>
      </c>
      <c r="B100" t="str">
        <f>VLOOKUP(A100,'Master MAKT'!B:C,2,0)</f>
        <v>Griller RM - &lt; 700 G</v>
      </c>
    </row>
    <row r="101" spans="1:2" hidden="1" x14ac:dyDescent="0.25">
      <c r="A101" t="s">
        <v>14</v>
      </c>
      <c r="B101" t="str">
        <f>VLOOKUP(A101,'Master MAKT'!B:C,2,0)</f>
        <v>Griller RM - 2 (800-899 G)</v>
      </c>
    </row>
    <row r="102" spans="1:2" hidden="1" x14ac:dyDescent="0.25">
      <c r="A102" t="s">
        <v>15</v>
      </c>
      <c r="B102" t="str">
        <f>VLOOKUP(A102,'Master MAKT'!B:C,2,0)</f>
        <v>Griller RM - A (900-999 G)</v>
      </c>
    </row>
    <row r="103" spans="1:2" hidden="1" x14ac:dyDescent="0.25">
      <c r="A103" t="s">
        <v>16</v>
      </c>
      <c r="B103" t="str">
        <f>VLOOKUP(A103,'Master MAKT'!B:C,2,0)</f>
        <v>Griller RM - E (1300-1399 G)</v>
      </c>
    </row>
    <row r="104" spans="1:2" hidden="1" x14ac:dyDescent="0.25">
      <c r="A104" t="s">
        <v>17</v>
      </c>
      <c r="B104" t="str">
        <f>VLOOKUP(A104,'Master MAKT'!B:C,2,0)</f>
        <v>Griller RM - GH (1500-1699 G)</v>
      </c>
    </row>
    <row r="105" spans="1:2" hidden="1" x14ac:dyDescent="0.25">
      <c r="A105" t="s">
        <v>18</v>
      </c>
      <c r="B105" t="str">
        <f>VLOOKUP(A105,'Master MAKT'!B:C,2,0)</f>
        <v>Griller RM - IJ (1700-1899 G)</v>
      </c>
    </row>
    <row r="106" spans="1:2" hidden="1" x14ac:dyDescent="0.25">
      <c r="A106" t="s">
        <v>19</v>
      </c>
      <c r="B106" t="str">
        <f>VLOOKUP(A106,'Master MAKT'!B:C,2,0)</f>
        <v>Griller RM - K UP (1900-UP G)</v>
      </c>
    </row>
    <row r="107" spans="1:2" hidden="1" x14ac:dyDescent="0.25">
      <c r="A107">
        <v>11600053</v>
      </c>
      <c r="B107" t="str">
        <f>VLOOKUP(A107,'Master MAKT'!B:C,2,0)</f>
        <v>BL Mitra 10 Kg</v>
      </c>
    </row>
    <row r="108" spans="1:2" hidden="1" x14ac:dyDescent="0.25">
      <c r="A108">
        <v>11160050</v>
      </c>
      <c r="B108" t="str">
        <f>VLOOKUP(A108,'Master MAKT'!B:C,2,0)</f>
        <v>Lemak By Produk Frozen</v>
      </c>
    </row>
    <row r="109" spans="1:2" x14ac:dyDescent="0.25">
      <c r="A109">
        <v>11750021</v>
      </c>
      <c r="B109" t="str">
        <f>VLOOKUP(A109,'Master MAKT'!B:C,2,0)</f>
        <v>Fillet Dada FR 5 KG</v>
      </c>
    </row>
    <row r="110" spans="1:2" hidden="1" x14ac:dyDescent="0.25">
      <c r="A110">
        <v>11310014</v>
      </c>
      <c r="B110" t="str">
        <f>VLOOKUP(A110,'Master MAKT'!B:C,2,0)</f>
        <v>Griller Size 2 ( 20 Ekor ) Frozen</v>
      </c>
    </row>
    <row r="111" spans="1:2" hidden="1" x14ac:dyDescent="0.25">
      <c r="A111">
        <v>11340038</v>
      </c>
      <c r="B111" t="str">
        <f>VLOOKUP(A111,'Master MAKT'!B:C,2,0)</f>
        <v>Griller Size A Frozen (18-20 Kg)</v>
      </c>
    </row>
    <row r="112" spans="1:2" hidden="1" x14ac:dyDescent="0.25">
      <c r="A112">
        <v>11400048</v>
      </c>
      <c r="B112" t="str">
        <f>VLOOKUP(A112,'Master MAKT'!B:C,2,0)</f>
        <v>A&amp;W P-9 Fresh</v>
      </c>
    </row>
    <row r="113" spans="1:2" x14ac:dyDescent="0.25">
      <c r="A113">
        <v>11150030</v>
      </c>
      <c r="B113" t="str">
        <f>VLOOKUP(A113,'Master MAKT'!B:C,2,0)</f>
        <v>Hati Bersih Fr 5 KG</v>
      </c>
    </row>
    <row r="114" spans="1:2" x14ac:dyDescent="0.25">
      <c r="A114">
        <v>11140015</v>
      </c>
      <c r="B114" t="str">
        <f>VLOOKUP(A114,'Master MAKT'!B:C,2,0)</f>
        <v>Ampela Bersih Fr 5 KG</v>
      </c>
    </row>
    <row r="115" spans="1:2" x14ac:dyDescent="0.25">
      <c r="A115">
        <v>11150031</v>
      </c>
      <c r="B115" t="str">
        <f>VLOOKUP(A115,'Master MAKT'!B:C,2,0)</f>
        <v>Jantung Bersih Fr 5 KG</v>
      </c>
    </row>
    <row r="116" spans="1:2" hidden="1" x14ac:dyDescent="0.25">
      <c r="A116">
        <v>11660012</v>
      </c>
      <c r="B116" t="str">
        <f>VLOOKUP(A116,'Master MAKT'!B:C,2,0)</f>
        <v>DRUMSTICK FRESH R/M</v>
      </c>
    </row>
    <row r="117" spans="1:2" hidden="1" x14ac:dyDescent="0.25">
      <c r="A117">
        <v>11382001</v>
      </c>
      <c r="B117" t="str">
        <f>VLOOKUP(A117,'Master MAKT'!B:C,2,0)</f>
        <v>Chicken Parting 7 CP Brand</v>
      </c>
    </row>
    <row r="118" spans="1:2" hidden="1" x14ac:dyDescent="0.25">
      <c r="A118">
        <v>11960052</v>
      </c>
      <c r="B118" t="str">
        <f>VLOOKUP(A118,'Master MAKT'!B:C,2,0)</f>
        <v>CCM 10 KG FROZEN</v>
      </c>
    </row>
    <row r="119" spans="1:2" hidden="1" x14ac:dyDescent="0.25">
      <c r="A119">
        <v>11660014</v>
      </c>
      <c r="B119" t="str">
        <f>VLOOKUP(A119,'Master MAKT'!B:C,2,0)</f>
        <v>Paha Bawah 500 Gram Frozen</v>
      </c>
    </row>
    <row r="120" spans="1:2" hidden="1" x14ac:dyDescent="0.25">
      <c r="A120">
        <v>11450000</v>
      </c>
      <c r="B120" t="str">
        <f>VLOOKUP(A120,'Master MAKT'!B:C,2,0)</f>
        <v>RM P-18 Size B FR</v>
      </c>
    </row>
    <row r="121" spans="1:2" hidden="1" x14ac:dyDescent="0.25">
      <c r="A121" t="s">
        <v>20</v>
      </c>
      <c r="B121" t="str">
        <f>VLOOKUP(A121,'Master MAKT'!B:C,2,0)</f>
        <v>UTUH H-Nest</v>
      </c>
    </row>
    <row r="122" spans="1:2" x14ac:dyDescent="0.25">
      <c r="A122">
        <v>11340039</v>
      </c>
      <c r="B122" t="str">
        <f>VLOOKUP(A122,'Master MAKT'!B:C,2,0)</f>
        <v>Griller Size B Frozen (20-22 Kg)</v>
      </c>
    </row>
    <row r="123" spans="1:2" x14ac:dyDescent="0.25">
      <c r="A123">
        <v>11310016</v>
      </c>
      <c r="B123" t="str">
        <f>VLOOKUP(A123,'Master MAKT'!B:C,2,0)</f>
        <v>Griller (PR) Size Z Frz</v>
      </c>
    </row>
    <row r="124" spans="1:2" hidden="1" x14ac:dyDescent="0.25">
      <c r="A124">
        <v>11650009</v>
      </c>
      <c r="B124" t="str">
        <f>VLOOKUP(A124,'Master MAKT'!B:C,2,0)</f>
        <v>THIGHSTICK FRESH R/M</v>
      </c>
    </row>
    <row r="125" spans="1:2" hidden="1" x14ac:dyDescent="0.25">
      <c r="A125">
        <v>11720093</v>
      </c>
      <c r="B125" t="str">
        <f>VLOOKUP(A125,'Master MAKT'!B:C,2,0)</f>
        <v>Fullwing RM</v>
      </c>
    </row>
    <row r="126" spans="1:2" hidden="1" x14ac:dyDescent="0.25">
      <c r="A126" t="s">
        <v>21</v>
      </c>
      <c r="B126" t="str">
        <f>VLOOKUP(A126,'Master MAKT'!B:C,2,0)</f>
        <v>Chicken Carcass Cut 2 RF Reject</v>
      </c>
    </row>
    <row r="127" spans="1:2" hidden="1" x14ac:dyDescent="0.25">
      <c r="A127" t="s">
        <v>22</v>
      </c>
      <c r="B127" t="str">
        <f>VLOOKUP(A127,'Master MAKT'!B:C,2,0)</f>
        <v>P-10 JR FC Reject</v>
      </c>
    </row>
    <row r="128" spans="1:2" hidden="1" x14ac:dyDescent="0.25">
      <c r="A128" t="s">
        <v>23</v>
      </c>
      <c r="B128" t="str">
        <f>VLOOKUP(A128,'Master MAKT'!B:C,2,0)</f>
        <v>Family Mart P-10 New 1 Reject</v>
      </c>
    </row>
    <row r="129" spans="1:2" x14ac:dyDescent="0.25">
      <c r="A129" t="s">
        <v>24</v>
      </c>
      <c r="B129" t="str">
        <f>VLOOKUP(A129,'Master MAKT'!B:C,2,0)</f>
        <v>PFM P-10 Marinasi Frozen (PAC) Reject</v>
      </c>
    </row>
    <row r="130" spans="1:2" hidden="1" x14ac:dyDescent="0.25">
      <c r="A130" t="s">
        <v>25</v>
      </c>
      <c r="B130" t="str">
        <f>VLOOKUP(A130,'Master MAKT'!B:C,2,0)</f>
        <v>Chicken On Bone cut 9 RF Reject</v>
      </c>
    </row>
    <row r="131" spans="1:2" hidden="1" x14ac:dyDescent="0.25">
      <c r="A131" t="s">
        <v>26</v>
      </c>
      <c r="B131" t="str">
        <f>VLOOKUP(A131,'Master MAKT'!B:C,2,0)</f>
        <v>Chicken Wings  RF Reject</v>
      </c>
    </row>
    <row r="132" spans="1:2" hidden="1" x14ac:dyDescent="0.25">
      <c r="A132" t="s">
        <v>27</v>
      </c>
      <c r="B132" t="str">
        <f>VLOOKUP(A132,'Master MAKT'!B:C,2,0)</f>
        <v>P-10 Size D Fz Indomaret Reject</v>
      </c>
    </row>
    <row r="133" spans="1:2" hidden="1" x14ac:dyDescent="0.25">
      <c r="A133" t="s">
        <v>28</v>
      </c>
      <c r="B133" t="str">
        <f>VLOOKUP(A133,'Master MAKT'!B:C,2,0)</f>
        <v>BL 100-110 THAI (BAKMI GM) Reject</v>
      </c>
    </row>
    <row r="134" spans="1:2" hidden="1" x14ac:dyDescent="0.25">
      <c r="A134">
        <v>11620055</v>
      </c>
      <c r="B134" t="str">
        <f>VLOOKUP(A134,'Master MAKT'!B:C,2,0)</f>
        <v>SBL 5 KG (R/M) FROZEN</v>
      </c>
    </row>
    <row r="135" spans="1:2" hidden="1" x14ac:dyDescent="0.25">
      <c r="A135">
        <v>11750055</v>
      </c>
      <c r="B135" t="str">
        <f>VLOOKUP(A135,'Master MAKT'!B:C,2,0)</f>
        <v>FILLET R/M 5 KG Frozen</v>
      </c>
    </row>
    <row r="136" spans="1:2" x14ac:dyDescent="0.25">
      <c r="A136">
        <v>11640011</v>
      </c>
      <c r="B136" t="str">
        <f>VLOOKUP(A136,'Master MAKT'!B:C,2,0)</f>
        <v>Paha Utuh 500 Gram Frozen</v>
      </c>
    </row>
    <row r="137" spans="1:2" hidden="1" x14ac:dyDescent="0.25">
      <c r="A137" t="s">
        <v>29</v>
      </c>
      <c r="B137" t="str">
        <f>VLOOKUP(A137,'Master MAKT'!B:C,2,0)</f>
        <v>RM ATU</v>
      </c>
    </row>
    <row r="138" spans="1:2" hidden="1" x14ac:dyDescent="0.25">
      <c r="A138">
        <v>11640052</v>
      </c>
      <c r="B138" t="str">
        <f>VLOOKUP(A138,'Master MAKT'!B:C,2,0)</f>
        <v>BIL 5 Kg Frozen</v>
      </c>
    </row>
    <row r="139" spans="1:2" hidden="1" x14ac:dyDescent="0.25">
      <c r="A139" t="s">
        <v>30</v>
      </c>
      <c r="B139" t="str">
        <f>VLOOKUP(A139,'Master MAKT'!B:C,2,0)</f>
        <v>GRILLER RM W/O WING FR</v>
      </c>
    </row>
    <row r="140" spans="1:2" hidden="1" x14ac:dyDescent="0.25">
      <c r="A140">
        <v>11770001</v>
      </c>
      <c r="B140" t="str">
        <f>VLOOKUP(A140,'Master MAKT'!B:C,2,0)</f>
        <v>Carcass</v>
      </c>
    </row>
    <row r="141" spans="1:2" hidden="1" x14ac:dyDescent="0.25">
      <c r="A141">
        <v>19990007</v>
      </c>
      <c r="B141" t="str">
        <f>VLOOKUP(A141,'Master MAKT'!B:C,2,0)</f>
        <v>RM Beef Blade 20-30 G FR (5 Kg)</v>
      </c>
    </row>
    <row r="142" spans="1:2" x14ac:dyDescent="0.25">
      <c r="A142" t="s">
        <v>31</v>
      </c>
      <c r="B142" t="str">
        <f>VLOOKUP(A142,'Master MAKT'!B:C,2,0)</f>
        <v>PAHA UTUH H-Nest</v>
      </c>
    </row>
    <row r="143" spans="1:2" x14ac:dyDescent="0.25">
      <c r="A143" t="s">
        <v>32</v>
      </c>
      <c r="B143" t="str">
        <f>VLOOKUP(A143,'Master MAKT'!B:C,2,0)</f>
        <v>PAHA BAWAH H-Nest</v>
      </c>
    </row>
    <row r="144" spans="1:2" hidden="1" x14ac:dyDescent="0.25">
      <c r="A144">
        <v>11630013</v>
      </c>
      <c r="B144" t="str">
        <f>VLOOKUP(A144,'Master MAKT'!B:C,2,0)</f>
        <v>SBL Strip 15-20Gr/SBL Block 8-15Gr-Fresh</v>
      </c>
    </row>
    <row r="145" spans="1:2" hidden="1" x14ac:dyDescent="0.25">
      <c r="A145" t="s">
        <v>33</v>
      </c>
      <c r="B145" t="str">
        <f>VLOOKUP(A145,'Master MAKT'!B:C,2,0)</f>
        <v>P-10 JR FC</v>
      </c>
    </row>
    <row r="146" spans="1:2" hidden="1" x14ac:dyDescent="0.25">
      <c r="A146" t="s">
        <v>34</v>
      </c>
      <c r="B146" t="str">
        <f>VLOOKUP(A146,'Master MAKT'!B:C,2,0)</f>
        <v>Family Mart P-10 New 1</v>
      </c>
    </row>
    <row r="147" spans="1:2" hidden="1" x14ac:dyDescent="0.25">
      <c r="A147" t="s">
        <v>35</v>
      </c>
      <c r="B147" t="str">
        <f>VLOOKUP(A147,'Master MAKT'!B:C,2,0)</f>
        <v>Chicken On Bone Cut 9 Richeese Factory</v>
      </c>
    </row>
    <row r="148" spans="1:2" hidden="1" x14ac:dyDescent="0.25">
      <c r="A148" t="s">
        <v>36</v>
      </c>
      <c r="B148" t="str">
        <f>VLOOKUP(A148,'Master MAKT'!B:C,2,0)</f>
        <v>P-10 Size D Fz Indomaret</v>
      </c>
    </row>
    <row r="149" spans="1:2" hidden="1" x14ac:dyDescent="0.25">
      <c r="A149" t="s">
        <v>37</v>
      </c>
      <c r="B149" t="str">
        <f>VLOOKUP(A149,'Master MAKT'!B:C,2,0)</f>
        <v>Drumstick 85-95 G FR</v>
      </c>
    </row>
    <row r="150" spans="1:2" hidden="1" x14ac:dyDescent="0.25">
      <c r="A150" t="s">
        <v>38</v>
      </c>
      <c r="B150" t="str">
        <f>VLOOKUP(A150,'Master MAKT'!B:C,2,0)</f>
        <v>Fillet 18-36 G FR New</v>
      </c>
    </row>
    <row r="151" spans="1:2" x14ac:dyDescent="0.25">
      <c r="A151">
        <v>11630020</v>
      </c>
      <c r="B151" t="str">
        <f>VLOOKUP(A151,'Master MAKT'!B:C,2,0)</f>
        <v>SBL Dicerm Chicken Bolognese</v>
      </c>
    </row>
    <row r="152" spans="1:2" x14ac:dyDescent="0.25">
      <c r="A152">
        <v>11880095</v>
      </c>
      <c r="B152" t="str">
        <f>VLOOKUP(A152,'Master MAKT'!B:C,2,0)</f>
        <v>SBB 60-70 G FZ ISMAYA</v>
      </c>
    </row>
    <row r="153" spans="1:2" x14ac:dyDescent="0.25">
      <c r="A153">
        <v>11880094</v>
      </c>
      <c r="B153" t="str">
        <f>VLOOKUP(A153,'Master MAKT'!B:C,2,0)</f>
        <v>BL 120-150 GR FZ (ISMAYA)</v>
      </c>
    </row>
    <row r="154" spans="1:2" x14ac:dyDescent="0.25">
      <c r="A154" t="s">
        <v>39</v>
      </c>
      <c r="B154" t="str">
        <f>VLOOKUP(A154,'Master MAKT'!B:C,2,0)</f>
        <v>SBL 6-8 G Fz Ismaya</v>
      </c>
    </row>
    <row r="155" spans="1:2" x14ac:dyDescent="0.25">
      <c r="A155" t="s">
        <v>40</v>
      </c>
      <c r="B155" t="str">
        <f>VLOOKUP(A155,'Master MAKT'!B:C,2,0)</f>
        <v>BL Dice 15-20 G FZ MC Delica</v>
      </c>
    </row>
    <row r="156" spans="1:2" x14ac:dyDescent="0.25">
      <c r="A156">
        <v>11880035</v>
      </c>
      <c r="B156" t="str">
        <f>VLOOKUP(A156,'Master MAKT'!B:C,2,0)</f>
        <v>MC Delica Paha Atas Boneless</v>
      </c>
    </row>
    <row r="157" spans="1:2" hidden="1" x14ac:dyDescent="0.25">
      <c r="A157">
        <v>11700032</v>
      </c>
      <c r="B157" t="str">
        <f>VLOOKUP(A157,'Master MAKT'!B:C,2,0)</f>
        <v>SBB DICE 3 - 5 GR  FRESH</v>
      </c>
    </row>
    <row r="158" spans="1:2" hidden="1" x14ac:dyDescent="0.25">
      <c r="A158" t="s">
        <v>41</v>
      </c>
      <c r="B158" t="str">
        <f>VLOOKUP(A158,'Master MAKT'!B:C,2,0)</f>
        <v>Chicken Carcass Cut 2 Richeese Factory</v>
      </c>
    </row>
    <row r="159" spans="1:2" x14ac:dyDescent="0.25">
      <c r="A159">
        <v>11959973</v>
      </c>
      <c r="B159" t="str">
        <f>VLOOKUP(A159,'Master MAKT'!B:C,2,0)</f>
        <v>PFM P-10 Marinasi Frozen (PAC)</v>
      </c>
    </row>
    <row r="160" spans="1:2" x14ac:dyDescent="0.25">
      <c r="A160">
        <v>11959922</v>
      </c>
      <c r="B160" t="str">
        <f>VLOOKUP(A160,'Master MAKT'!B:C,2,0)</f>
        <v>PARTING 10 I Am Bensu</v>
      </c>
    </row>
    <row r="161" spans="1:2" hidden="1" x14ac:dyDescent="0.25">
      <c r="A161">
        <v>11950117</v>
      </c>
      <c r="B161" t="str">
        <f>VLOOKUP(A161,'Master MAKT'!B:C,2,0)</f>
        <v>BL 100-110 THAI (BAKMI GM)</v>
      </c>
    </row>
    <row r="162" spans="1:2" hidden="1" x14ac:dyDescent="0.25">
      <c r="A162" t="s">
        <v>42</v>
      </c>
      <c r="B162" t="str">
        <f>VLOOKUP(A162,'Master MAKT'!B:C,2,0)</f>
        <v>Chicken Carcass Cut 2 RicheeseFactory FR</v>
      </c>
    </row>
    <row r="163" spans="1:2" hidden="1" x14ac:dyDescent="0.25">
      <c r="A163" t="s">
        <v>43</v>
      </c>
      <c r="B163" t="str">
        <f>VLOOKUP(A163,'Master MAKT'!B:C,2,0)</f>
        <v>Chicken On Bone Cut 9 RicheeseFactory FR</v>
      </c>
    </row>
    <row r="164" spans="1:2" hidden="1" x14ac:dyDescent="0.25">
      <c r="A164" t="s">
        <v>44</v>
      </c>
      <c r="B164" t="str">
        <f>VLOOKUP(A164,'Master MAKT'!B:C,2,0)</f>
        <v>Chicken Wings Richesee Factory</v>
      </c>
    </row>
    <row r="165" spans="1:2" hidden="1" x14ac:dyDescent="0.25">
      <c r="A165" t="s">
        <v>45</v>
      </c>
      <c r="B165" t="str">
        <f>VLOOKUP(A165,'Master MAKT'!B:C,2,0)</f>
        <v>BL PAHA SKL H-Nest</v>
      </c>
    </row>
    <row r="166" spans="1:2" x14ac:dyDescent="0.25">
      <c r="A166" t="s">
        <v>46</v>
      </c>
      <c r="B166" t="str">
        <f>VLOOKUP(A166,'Master MAKT'!B:C,2,0)</f>
        <v>PAHA ATAS H-Nest</v>
      </c>
    </row>
    <row r="167" spans="1:2" hidden="1" x14ac:dyDescent="0.25">
      <c r="A167" t="s">
        <v>47</v>
      </c>
      <c r="B167" t="str">
        <f>VLOOKUP(A167,'Master MAKT'!B:C,2,0)</f>
        <v>BL DADA SKL H-Nest</v>
      </c>
    </row>
    <row r="168" spans="1:2" hidden="1" x14ac:dyDescent="0.25">
      <c r="A168">
        <v>11880057</v>
      </c>
      <c r="B168" t="str">
        <f>VLOOKUP(A168,'Master MAKT'!B:C,2,0)</f>
        <v>RM SBB Dice 3-5 Gram Fz</v>
      </c>
    </row>
  </sheetData>
  <autoFilter ref="A1:B168" xr:uid="{A8CB29F6-C2D6-4D94-AB88-E9CCF2387FDE}">
    <filterColumn colId="1">
      <filters>
        <filter val="#N/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B10A4-661C-4F54-81E4-23366B52256E}">
  <dimension ref="A1:C230"/>
  <sheetViews>
    <sheetView tabSelected="1" workbookViewId="0">
      <selection activeCell="F12" sqref="F12"/>
    </sheetView>
  </sheetViews>
  <sheetFormatPr defaultRowHeight="15" x14ac:dyDescent="0.25"/>
  <cols>
    <col min="2" max="2" width="11.85546875" bestFit="1" customWidth="1"/>
  </cols>
  <sheetData>
    <row r="1" spans="1:3" x14ac:dyDescent="0.25">
      <c r="A1" t="s">
        <v>48</v>
      </c>
      <c r="B1" t="s">
        <v>49</v>
      </c>
      <c r="C1" t="s">
        <v>50</v>
      </c>
    </row>
    <row r="2" spans="1:3" x14ac:dyDescent="0.25">
      <c r="A2">
        <v>326</v>
      </c>
      <c r="B2">
        <v>11660009</v>
      </c>
      <c r="C2" t="s">
        <v>51</v>
      </c>
    </row>
    <row r="3" spans="1:3" x14ac:dyDescent="0.25">
      <c r="A3">
        <v>327</v>
      </c>
      <c r="B3">
        <v>11690059</v>
      </c>
      <c r="C3" t="s">
        <v>52</v>
      </c>
    </row>
    <row r="4" spans="1:3" x14ac:dyDescent="0.25">
      <c r="A4">
        <v>328</v>
      </c>
      <c r="B4">
        <v>9903005</v>
      </c>
      <c r="C4" t="s">
        <v>53</v>
      </c>
    </row>
    <row r="5" spans="1:3" x14ac:dyDescent="0.25">
      <c r="A5">
        <v>329</v>
      </c>
      <c r="B5">
        <v>9903006</v>
      </c>
      <c r="C5" t="s">
        <v>54</v>
      </c>
    </row>
    <row r="6" spans="1:3" x14ac:dyDescent="0.25">
      <c r="A6">
        <v>330</v>
      </c>
      <c r="B6">
        <v>9903008</v>
      </c>
      <c r="C6" t="s">
        <v>55</v>
      </c>
    </row>
    <row r="7" spans="1:3" x14ac:dyDescent="0.25">
      <c r="A7">
        <v>331</v>
      </c>
      <c r="B7">
        <v>9903009</v>
      </c>
      <c r="C7" t="s">
        <v>56</v>
      </c>
    </row>
    <row r="8" spans="1:3" x14ac:dyDescent="0.25">
      <c r="A8">
        <v>332</v>
      </c>
      <c r="B8">
        <v>11100001</v>
      </c>
      <c r="C8" t="s">
        <v>57</v>
      </c>
    </row>
    <row r="9" spans="1:3" x14ac:dyDescent="0.25">
      <c r="A9">
        <v>333</v>
      </c>
      <c r="B9">
        <v>11110006</v>
      </c>
      <c r="C9" t="s">
        <v>58</v>
      </c>
    </row>
    <row r="10" spans="1:3" x14ac:dyDescent="0.25">
      <c r="A10">
        <v>334</v>
      </c>
      <c r="B10">
        <v>11110018</v>
      </c>
      <c r="C10" t="s">
        <v>59</v>
      </c>
    </row>
    <row r="11" spans="1:3" x14ac:dyDescent="0.25">
      <c r="A11">
        <v>335</v>
      </c>
      <c r="B11">
        <v>11110020</v>
      </c>
      <c r="C11" t="s">
        <v>60</v>
      </c>
    </row>
    <row r="12" spans="1:3" x14ac:dyDescent="0.25">
      <c r="A12">
        <v>336</v>
      </c>
      <c r="B12">
        <v>11110051</v>
      </c>
      <c r="C12" t="s">
        <v>61</v>
      </c>
    </row>
    <row r="13" spans="1:3" x14ac:dyDescent="0.25">
      <c r="A13">
        <v>337</v>
      </c>
      <c r="B13">
        <v>11110074</v>
      </c>
      <c r="C13" t="s">
        <v>62</v>
      </c>
    </row>
    <row r="14" spans="1:3" x14ac:dyDescent="0.25">
      <c r="A14">
        <v>338</v>
      </c>
      <c r="B14">
        <v>11120001</v>
      </c>
      <c r="C14" t="s">
        <v>63</v>
      </c>
    </row>
    <row r="15" spans="1:3" x14ac:dyDescent="0.25">
      <c r="A15">
        <v>339</v>
      </c>
      <c r="B15">
        <v>11130001</v>
      </c>
      <c r="C15" t="s">
        <v>64</v>
      </c>
    </row>
    <row r="16" spans="1:3" x14ac:dyDescent="0.25">
      <c r="A16">
        <v>340</v>
      </c>
      <c r="B16">
        <v>11140013</v>
      </c>
      <c r="C16" t="s">
        <v>65</v>
      </c>
    </row>
    <row r="17" spans="1:3" x14ac:dyDescent="0.25">
      <c r="A17">
        <v>341</v>
      </c>
      <c r="B17">
        <v>11140014</v>
      </c>
      <c r="C17" t="s">
        <v>66</v>
      </c>
    </row>
    <row r="18" spans="1:3" x14ac:dyDescent="0.25">
      <c r="A18">
        <v>342</v>
      </c>
      <c r="B18">
        <v>11140062</v>
      </c>
      <c r="C18" t="s">
        <v>67</v>
      </c>
    </row>
    <row r="19" spans="1:3" x14ac:dyDescent="0.25">
      <c r="A19">
        <v>343</v>
      </c>
      <c r="B19">
        <v>11150002</v>
      </c>
      <c r="C19" t="s">
        <v>68</v>
      </c>
    </row>
    <row r="20" spans="1:3" x14ac:dyDescent="0.25">
      <c r="A20">
        <v>344</v>
      </c>
      <c r="B20">
        <v>11150064</v>
      </c>
      <c r="C20" t="s">
        <v>69</v>
      </c>
    </row>
    <row r="21" spans="1:3" x14ac:dyDescent="0.25">
      <c r="A21">
        <v>345</v>
      </c>
      <c r="B21">
        <v>11150065</v>
      </c>
      <c r="C21" t="s">
        <v>70</v>
      </c>
    </row>
    <row r="22" spans="1:3" x14ac:dyDescent="0.25">
      <c r="A22">
        <v>346</v>
      </c>
      <c r="B22">
        <v>11150068</v>
      </c>
      <c r="C22" t="s">
        <v>71</v>
      </c>
    </row>
    <row r="23" spans="1:3" x14ac:dyDescent="0.25">
      <c r="A23">
        <v>347</v>
      </c>
      <c r="B23">
        <v>11160004</v>
      </c>
      <c r="C23" t="s">
        <v>72</v>
      </c>
    </row>
    <row r="24" spans="1:3" x14ac:dyDescent="0.25">
      <c r="A24">
        <v>348</v>
      </c>
      <c r="B24">
        <v>11160050</v>
      </c>
      <c r="C24" t="s">
        <v>73</v>
      </c>
    </row>
    <row r="25" spans="1:3" x14ac:dyDescent="0.25">
      <c r="A25">
        <v>349</v>
      </c>
      <c r="B25">
        <v>11170002</v>
      </c>
      <c r="C25" t="s">
        <v>74</v>
      </c>
    </row>
    <row r="26" spans="1:3" x14ac:dyDescent="0.25">
      <c r="A26">
        <v>350</v>
      </c>
      <c r="B26">
        <v>11190001</v>
      </c>
      <c r="C26" t="s">
        <v>75</v>
      </c>
    </row>
    <row r="27" spans="1:3" x14ac:dyDescent="0.25">
      <c r="A27">
        <v>351</v>
      </c>
      <c r="B27">
        <v>11190050</v>
      </c>
      <c r="C27" t="s">
        <v>76</v>
      </c>
    </row>
    <row r="28" spans="1:3" x14ac:dyDescent="0.25">
      <c r="A28">
        <v>352</v>
      </c>
      <c r="B28">
        <v>11200001</v>
      </c>
      <c r="C28" t="s">
        <v>77</v>
      </c>
    </row>
    <row r="29" spans="1:3" x14ac:dyDescent="0.25">
      <c r="A29">
        <v>353</v>
      </c>
      <c r="B29">
        <v>11230001</v>
      </c>
      <c r="C29" t="s">
        <v>78</v>
      </c>
    </row>
    <row r="30" spans="1:3" x14ac:dyDescent="0.25">
      <c r="A30">
        <v>354</v>
      </c>
      <c r="B30">
        <v>11240050</v>
      </c>
      <c r="C30" t="s">
        <v>79</v>
      </c>
    </row>
    <row r="31" spans="1:3" x14ac:dyDescent="0.25">
      <c r="A31">
        <v>355</v>
      </c>
      <c r="B31">
        <v>11260001</v>
      </c>
      <c r="C31" t="s">
        <v>80</v>
      </c>
    </row>
    <row r="32" spans="1:3" x14ac:dyDescent="0.25">
      <c r="A32">
        <v>356</v>
      </c>
      <c r="B32">
        <v>11260002</v>
      </c>
      <c r="C32" t="s">
        <v>81</v>
      </c>
    </row>
    <row r="33" spans="1:3" x14ac:dyDescent="0.25">
      <c r="A33">
        <v>357</v>
      </c>
      <c r="B33">
        <v>11260010</v>
      </c>
      <c r="C33" t="s">
        <v>82</v>
      </c>
    </row>
    <row r="34" spans="1:3" x14ac:dyDescent="0.25">
      <c r="A34">
        <v>358</v>
      </c>
      <c r="B34">
        <v>11260053</v>
      </c>
      <c r="C34" t="s">
        <v>83</v>
      </c>
    </row>
    <row r="35" spans="1:3" x14ac:dyDescent="0.25">
      <c r="A35">
        <v>359</v>
      </c>
      <c r="B35">
        <v>11270001</v>
      </c>
      <c r="C35" t="s">
        <v>84</v>
      </c>
    </row>
    <row r="36" spans="1:3" x14ac:dyDescent="0.25">
      <c r="A36">
        <v>360</v>
      </c>
      <c r="B36">
        <v>11270002</v>
      </c>
      <c r="C36" t="s">
        <v>85</v>
      </c>
    </row>
    <row r="37" spans="1:3" x14ac:dyDescent="0.25">
      <c r="A37">
        <v>361</v>
      </c>
      <c r="B37">
        <v>11270004</v>
      </c>
      <c r="C37" t="s">
        <v>86</v>
      </c>
    </row>
    <row r="38" spans="1:3" x14ac:dyDescent="0.25">
      <c r="A38">
        <v>362</v>
      </c>
      <c r="B38">
        <v>11280001</v>
      </c>
      <c r="C38" t="s">
        <v>87</v>
      </c>
    </row>
    <row r="39" spans="1:3" x14ac:dyDescent="0.25">
      <c r="A39">
        <v>363</v>
      </c>
      <c r="B39">
        <v>11280005</v>
      </c>
      <c r="C39" t="s">
        <v>88</v>
      </c>
    </row>
    <row r="40" spans="1:3" x14ac:dyDescent="0.25">
      <c r="A40">
        <v>364</v>
      </c>
      <c r="B40">
        <v>11290001</v>
      </c>
      <c r="C40" t="s">
        <v>89</v>
      </c>
    </row>
    <row r="41" spans="1:3" x14ac:dyDescent="0.25">
      <c r="A41">
        <v>365</v>
      </c>
      <c r="B41">
        <v>11300005</v>
      </c>
      <c r="C41" t="s">
        <v>90</v>
      </c>
    </row>
    <row r="42" spans="1:3" x14ac:dyDescent="0.25">
      <c r="A42">
        <v>366</v>
      </c>
      <c r="B42">
        <v>11300007</v>
      </c>
      <c r="C42" t="s">
        <v>91</v>
      </c>
    </row>
    <row r="43" spans="1:3" x14ac:dyDescent="0.25">
      <c r="A43">
        <v>367</v>
      </c>
      <c r="B43">
        <v>11310012</v>
      </c>
      <c r="C43" t="s">
        <v>92</v>
      </c>
    </row>
    <row r="44" spans="1:3" x14ac:dyDescent="0.25">
      <c r="A44">
        <v>368</v>
      </c>
      <c r="B44">
        <v>11310013</v>
      </c>
      <c r="C44" t="s">
        <v>93</v>
      </c>
    </row>
    <row r="45" spans="1:3" x14ac:dyDescent="0.25">
      <c r="A45">
        <v>369</v>
      </c>
      <c r="B45">
        <v>11310014</v>
      </c>
      <c r="C45" t="s">
        <v>94</v>
      </c>
    </row>
    <row r="46" spans="1:3" x14ac:dyDescent="0.25">
      <c r="A46">
        <v>370</v>
      </c>
      <c r="B46">
        <v>11320006</v>
      </c>
      <c r="C46" t="s">
        <v>95</v>
      </c>
    </row>
    <row r="47" spans="1:3" x14ac:dyDescent="0.25">
      <c r="A47">
        <v>371</v>
      </c>
      <c r="B47">
        <v>11320009</v>
      </c>
      <c r="C47" t="s">
        <v>96</v>
      </c>
    </row>
    <row r="48" spans="1:3" x14ac:dyDescent="0.25">
      <c r="A48">
        <v>372</v>
      </c>
      <c r="B48">
        <v>11320012</v>
      </c>
      <c r="C48" t="s">
        <v>97</v>
      </c>
    </row>
    <row r="49" spans="1:3" x14ac:dyDescent="0.25">
      <c r="A49">
        <v>373</v>
      </c>
      <c r="B49">
        <v>11320014</v>
      </c>
      <c r="C49" t="s">
        <v>98</v>
      </c>
    </row>
    <row r="50" spans="1:3" x14ac:dyDescent="0.25">
      <c r="A50">
        <v>374</v>
      </c>
      <c r="B50">
        <v>11320015</v>
      </c>
      <c r="C50" t="s">
        <v>99</v>
      </c>
    </row>
    <row r="51" spans="1:3" x14ac:dyDescent="0.25">
      <c r="A51">
        <v>375</v>
      </c>
      <c r="B51">
        <v>11340038</v>
      </c>
      <c r="C51" t="s">
        <v>100</v>
      </c>
    </row>
    <row r="52" spans="1:3" x14ac:dyDescent="0.25">
      <c r="A52">
        <v>376</v>
      </c>
      <c r="B52">
        <v>11340049</v>
      </c>
      <c r="C52" t="s">
        <v>101</v>
      </c>
    </row>
    <row r="53" spans="1:3" x14ac:dyDescent="0.25">
      <c r="A53">
        <v>377</v>
      </c>
      <c r="B53">
        <v>11382001</v>
      </c>
      <c r="C53" t="s">
        <v>102</v>
      </c>
    </row>
    <row r="54" spans="1:3" x14ac:dyDescent="0.25">
      <c r="A54">
        <v>378</v>
      </c>
      <c r="B54">
        <v>11400048</v>
      </c>
      <c r="C54" t="s">
        <v>103</v>
      </c>
    </row>
    <row r="55" spans="1:3" x14ac:dyDescent="0.25">
      <c r="A55">
        <v>379</v>
      </c>
      <c r="B55">
        <v>11410032</v>
      </c>
      <c r="C55" t="s">
        <v>104</v>
      </c>
    </row>
    <row r="56" spans="1:3" x14ac:dyDescent="0.25">
      <c r="A56">
        <v>380</v>
      </c>
      <c r="B56">
        <v>11410062</v>
      </c>
      <c r="C56" t="s">
        <v>105</v>
      </c>
    </row>
    <row r="57" spans="1:3" x14ac:dyDescent="0.25">
      <c r="A57">
        <v>381</v>
      </c>
      <c r="B57">
        <v>11410085</v>
      </c>
      <c r="C57" t="s">
        <v>106</v>
      </c>
    </row>
    <row r="58" spans="1:3" x14ac:dyDescent="0.25">
      <c r="A58">
        <v>382</v>
      </c>
      <c r="B58">
        <v>11430005</v>
      </c>
      <c r="C58" t="s">
        <v>107</v>
      </c>
    </row>
    <row r="59" spans="1:3" x14ac:dyDescent="0.25">
      <c r="A59">
        <v>383</v>
      </c>
      <c r="B59">
        <v>11530011</v>
      </c>
      <c r="C59" t="s">
        <v>108</v>
      </c>
    </row>
    <row r="60" spans="1:3" x14ac:dyDescent="0.25">
      <c r="A60">
        <v>384</v>
      </c>
      <c r="B60">
        <v>11600003</v>
      </c>
      <c r="C60" t="s">
        <v>109</v>
      </c>
    </row>
    <row r="61" spans="1:3" x14ac:dyDescent="0.25">
      <c r="A61">
        <v>385</v>
      </c>
      <c r="B61">
        <v>11600053</v>
      </c>
      <c r="C61" t="s">
        <v>110</v>
      </c>
    </row>
    <row r="62" spans="1:3" x14ac:dyDescent="0.25">
      <c r="A62">
        <v>386</v>
      </c>
      <c r="B62">
        <v>11610010</v>
      </c>
      <c r="C62" t="s">
        <v>111</v>
      </c>
    </row>
    <row r="63" spans="1:3" x14ac:dyDescent="0.25">
      <c r="A63">
        <v>387</v>
      </c>
      <c r="B63">
        <v>11610031</v>
      </c>
      <c r="C63" t="s">
        <v>112</v>
      </c>
    </row>
    <row r="64" spans="1:3" x14ac:dyDescent="0.25">
      <c r="A64">
        <v>388</v>
      </c>
      <c r="B64">
        <v>11620008</v>
      </c>
      <c r="C64" t="s">
        <v>113</v>
      </c>
    </row>
    <row r="65" spans="1:3" x14ac:dyDescent="0.25">
      <c r="A65">
        <v>389</v>
      </c>
      <c r="B65">
        <v>11620014</v>
      </c>
      <c r="C65" t="s">
        <v>114</v>
      </c>
    </row>
    <row r="66" spans="1:3" x14ac:dyDescent="0.25">
      <c r="A66">
        <v>390</v>
      </c>
      <c r="B66">
        <v>11620055</v>
      </c>
      <c r="C66" t="s">
        <v>115</v>
      </c>
    </row>
    <row r="67" spans="1:3" x14ac:dyDescent="0.25">
      <c r="A67">
        <v>391</v>
      </c>
      <c r="B67">
        <v>11620056</v>
      </c>
      <c r="C67" t="s">
        <v>116</v>
      </c>
    </row>
    <row r="68" spans="1:3" x14ac:dyDescent="0.25">
      <c r="A68">
        <v>392</v>
      </c>
      <c r="B68">
        <v>11630013</v>
      </c>
      <c r="C68" t="s">
        <v>117</v>
      </c>
    </row>
    <row r="69" spans="1:3" x14ac:dyDescent="0.25">
      <c r="A69">
        <v>393</v>
      </c>
      <c r="B69">
        <v>11630022</v>
      </c>
      <c r="C69" t="s">
        <v>118</v>
      </c>
    </row>
    <row r="70" spans="1:3" x14ac:dyDescent="0.25">
      <c r="A70">
        <v>394</v>
      </c>
      <c r="B70">
        <v>11630023</v>
      </c>
      <c r="C70" t="s">
        <v>119</v>
      </c>
    </row>
    <row r="71" spans="1:3" x14ac:dyDescent="0.25">
      <c r="A71">
        <v>395</v>
      </c>
      <c r="B71">
        <v>11630061</v>
      </c>
      <c r="C71" t="s">
        <v>120</v>
      </c>
    </row>
    <row r="72" spans="1:3" x14ac:dyDescent="0.25">
      <c r="A72">
        <v>396</v>
      </c>
      <c r="B72">
        <v>11630069</v>
      </c>
      <c r="C72" t="s">
        <v>121</v>
      </c>
    </row>
    <row r="73" spans="1:3" x14ac:dyDescent="0.25">
      <c r="A73">
        <v>397</v>
      </c>
      <c r="B73">
        <v>11630070</v>
      </c>
      <c r="C73" t="s">
        <v>122</v>
      </c>
    </row>
    <row r="74" spans="1:3" x14ac:dyDescent="0.25">
      <c r="A74">
        <v>398</v>
      </c>
      <c r="B74">
        <v>11640052</v>
      </c>
      <c r="C74" t="s">
        <v>123</v>
      </c>
    </row>
    <row r="75" spans="1:3" x14ac:dyDescent="0.25">
      <c r="A75">
        <v>399</v>
      </c>
      <c r="B75">
        <v>11650053</v>
      </c>
      <c r="C75" t="s">
        <v>124</v>
      </c>
    </row>
    <row r="76" spans="1:3" x14ac:dyDescent="0.25">
      <c r="A76">
        <v>400</v>
      </c>
      <c r="B76">
        <v>11660012</v>
      </c>
      <c r="C76" t="s">
        <v>125</v>
      </c>
    </row>
    <row r="77" spans="1:3" x14ac:dyDescent="0.25">
      <c r="A77">
        <v>401</v>
      </c>
      <c r="B77">
        <v>11660014</v>
      </c>
      <c r="C77" t="s">
        <v>126</v>
      </c>
    </row>
    <row r="78" spans="1:3" x14ac:dyDescent="0.25">
      <c r="A78">
        <v>402</v>
      </c>
      <c r="B78">
        <v>11660050</v>
      </c>
      <c r="C78" t="s">
        <v>127</v>
      </c>
    </row>
    <row r="79" spans="1:3" x14ac:dyDescent="0.25">
      <c r="A79">
        <v>403</v>
      </c>
      <c r="B79">
        <v>11670002</v>
      </c>
      <c r="C79" t="s">
        <v>128</v>
      </c>
    </row>
    <row r="80" spans="1:3" x14ac:dyDescent="0.25">
      <c r="A80">
        <v>404</v>
      </c>
      <c r="B80">
        <v>11690001</v>
      </c>
      <c r="C80" t="s">
        <v>129</v>
      </c>
    </row>
    <row r="81" spans="1:3" x14ac:dyDescent="0.25">
      <c r="A81">
        <v>405</v>
      </c>
      <c r="B81">
        <v>11690014</v>
      </c>
      <c r="C81" t="s">
        <v>130</v>
      </c>
    </row>
    <row r="82" spans="1:3" x14ac:dyDescent="0.25">
      <c r="A82">
        <v>406</v>
      </c>
      <c r="B82">
        <v>11690053</v>
      </c>
      <c r="C82" t="s">
        <v>131</v>
      </c>
    </row>
    <row r="83" spans="1:3" x14ac:dyDescent="0.25">
      <c r="A83">
        <v>407</v>
      </c>
      <c r="B83">
        <v>11700019</v>
      </c>
      <c r="C83" t="s">
        <v>132</v>
      </c>
    </row>
    <row r="84" spans="1:3" x14ac:dyDescent="0.25">
      <c r="A84">
        <v>408</v>
      </c>
      <c r="B84">
        <v>11700032</v>
      </c>
      <c r="C84" t="s">
        <v>133</v>
      </c>
    </row>
    <row r="85" spans="1:3" x14ac:dyDescent="0.25">
      <c r="A85">
        <v>409</v>
      </c>
      <c r="B85">
        <v>11720022</v>
      </c>
      <c r="C85" t="s">
        <v>134</v>
      </c>
    </row>
    <row r="86" spans="1:3" x14ac:dyDescent="0.25">
      <c r="A86">
        <v>410</v>
      </c>
      <c r="B86">
        <v>11720055</v>
      </c>
      <c r="C86" t="s">
        <v>135</v>
      </c>
    </row>
    <row r="87" spans="1:3" x14ac:dyDescent="0.25">
      <c r="A87">
        <v>411</v>
      </c>
      <c r="B87">
        <v>11720093</v>
      </c>
      <c r="C87" t="s">
        <v>136</v>
      </c>
    </row>
    <row r="88" spans="1:3" x14ac:dyDescent="0.25">
      <c r="A88">
        <v>412</v>
      </c>
      <c r="B88">
        <v>11720094</v>
      </c>
      <c r="C88" t="s">
        <v>137</v>
      </c>
    </row>
    <row r="89" spans="1:3" x14ac:dyDescent="0.25">
      <c r="A89">
        <v>413</v>
      </c>
      <c r="B89">
        <v>11730003</v>
      </c>
      <c r="C89" t="s">
        <v>138</v>
      </c>
    </row>
    <row r="90" spans="1:3" x14ac:dyDescent="0.25">
      <c r="A90">
        <v>414</v>
      </c>
      <c r="B90">
        <v>11730004</v>
      </c>
      <c r="C90" t="s">
        <v>139</v>
      </c>
    </row>
    <row r="91" spans="1:3" x14ac:dyDescent="0.25">
      <c r="A91">
        <v>415</v>
      </c>
      <c r="B91">
        <v>11730050</v>
      </c>
      <c r="C91" t="s">
        <v>140</v>
      </c>
    </row>
    <row r="92" spans="1:3" x14ac:dyDescent="0.25">
      <c r="A92">
        <v>416</v>
      </c>
      <c r="B92">
        <v>11730054</v>
      </c>
      <c r="C92" t="s">
        <v>141</v>
      </c>
    </row>
    <row r="93" spans="1:3" x14ac:dyDescent="0.25">
      <c r="A93">
        <v>417</v>
      </c>
      <c r="B93">
        <v>11740002</v>
      </c>
      <c r="C93" t="s">
        <v>142</v>
      </c>
    </row>
    <row r="94" spans="1:3" x14ac:dyDescent="0.25">
      <c r="A94">
        <v>418</v>
      </c>
      <c r="B94">
        <v>11740003</v>
      </c>
      <c r="C94" t="s">
        <v>143</v>
      </c>
    </row>
    <row r="95" spans="1:3" x14ac:dyDescent="0.25">
      <c r="A95">
        <v>419</v>
      </c>
      <c r="B95">
        <v>11740050</v>
      </c>
      <c r="C95" t="s">
        <v>144</v>
      </c>
    </row>
    <row r="96" spans="1:3" x14ac:dyDescent="0.25">
      <c r="A96">
        <v>420</v>
      </c>
      <c r="B96">
        <v>11740052</v>
      </c>
      <c r="C96" t="s">
        <v>145</v>
      </c>
    </row>
    <row r="97" spans="1:3" x14ac:dyDescent="0.25">
      <c r="A97">
        <v>421</v>
      </c>
      <c r="B97">
        <v>11750015</v>
      </c>
      <c r="C97" t="s">
        <v>146</v>
      </c>
    </row>
    <row r="98" spans="1:3" x14ac:dyDescent="0.25">
      <c r="A98">
        <v>422</v>
      </c>
      <c r="B98">
        <v>11750050</v>
      </c>
      <c r="C98" t="s">
        <v>147</v>
      </c>
    </row>
    <row r="99" spans="1:3" x14ac:dyDescent="0.25">
      <c r="A99">
        <v>423</v>
      </c>
      <c r="B99">
        <v>11750055</v>
      </c>
      <c r="C99" t="s">
        <v>148</v>
      </c>
    </row>
    <row r="100" spans="1:3" x14ac:dyDescent="0.25">
      <c r="A100">
        <v>424</v>
      </c>
      <c r="B100">
        <v>11760003</v>
      </c>
      <c r="C100" t="s">
        <v>149</v>
      </c>
    </row>
    <row r="101" spans="1:3" x14ac:dyDescent="0.25">
      <c r="A101">
        <v>425</v>
      </c>
      <c r="B101">
        <v>11760004</v>
      </c>
      <c r="C101" t="s">
        <v>150</v>
      </c>
    </row>
    <row r="102" spans="1:3" x14ac:dyDescent="0.25">
      <c r="A102">
        <v>426</v>
      </c>
      <c r="B102">
        <v>11760010</v>
      </c>
      <c r="C102" t="s">
        <v>151</v>
      </c>
    </row>
    <row r="103" spans="1:3" x14ac:dyDescent="0.25">
      <c r="A103">
        <v>427</v>
      </c>
      <c r="B103">
        <v>11760054</v>
      </c>
      <c r="C103" t="s">
        <v>152</v>
      </c>
    </row>
    <row r="104" spans="1:3" x14ac:dyDescent="0.25">
      <c r="A104">
        <v>428</v>
      </c>
      <c r="B104">
        <v>11770001</v>
      </c>
      <c r="C104" t="s">
        <v>153</v>
      </c>
    </row>
    <row r="105" spans="1:3" x14ac:dyDescent="0.25">
      <c r="A105">
        <v>429</v>
      </c>
      <c r="B105">
        <v>11770014</v>
      </c>
      <c r="C105" t="s">
        <v>154</v>
      </c>
    </row>
    <row r="106" spans="1:3" x14ac:dyDescent="0.25">
      <c r="A106">
        <v>430</v>
      </c>
      <c r="B106">
        <v>11880057</v>
      </c>
      <c r="C106" t="s">
        <v>155</v>
      </c>
    </row>
    <row r="107" spans="1:3" x14ac:dyDescent="0.25">
      <c r="A107">
        <v>431</v>
      </c>
      <c r="B107">
        <v>11950117</v>
      </c>
      <c r="C107" t="s">
        <v>156</v>
      </c>
    </row>
    <row r="108" spans="1:3" x14ac:dyDescent="0.25">
      <c r="A108">
        <v>432</v>
      </c>
      <c r="B108">
        <v>11960001</v>
      </c>
      <c r="C108" t="s">
        <v>157</v>
      </c>
    </row>
    <row r="109" spans="1:3" x14ac:dyDescent="0.25">
      <c r="A109">
        <v>433</v>
      </c>
      <c r="B109">
        <v>11960052</v>
      </c>
      <c r="C109" t="s">
        <v>158</v>
      </c>
    </row>
    <row r="110" spans="1:3" x14ac:dyDescent="0.25">
      <c r="A110">
        <v>434</v>
      </c>
      <c r="B110">
        <v>11970002</v>
      </c>
      <c r="C110" t="s">
        <v>159</v>
      </c>
    </row>
    <row r="111" spans="1:3" x14ac:dyDescent="0.25">
      <c r="A111">
        <v>435</v>
      </c>
      <c r="B111">
        <v>19020002</v>
      </c>
      <c r="C111" t="s">
        <v>160</v>
      </c>
    </row>
    <row r="112" spans="1:3" x14ac:dyDescent="0.25">
      <c r="A112">
        <v>436</v>
      </c>
      <c r="B112">
        <v>19990001</v>
      </c>
      <c r="C112" t="s">
        <v>161</v>
      </c>
    </row>
    <row r="113" spans="1:3" x14ac:dyDescent="0.25">
      <c r="A113">
        <v>437</v>
      </c>
      <c r="B113">
        <v>19990003</v>
      </c>
      <c r="C113" t="s">
        <v>162</v>
      </c>
    </row>
    <row r="114" spans="1:3" x14ac:dyDescent="0.25">
      <c r="A114">
        <v>438</v>
      </c>
      <c r="B114">
        <v>19990007</v>
      </c>
      <c r="C114" t="s">
        <v>163</v>
      </c>
    </row>
    <row r="115" spans="1:3" x14ac:dyDescent="0.25">
      <c r="A115">
        <v>439</v>
      </c>
      <c r="B115" t="s">
        <v>2</v>
      </c>
      <c r="C115" t="s">
        <v>164</v>
      </c>
    </row>
    <row r="116" spans="1:3" x14ac:dyDescent="0.25">
      <c r="A116">
        <v>440</v>
      </c>
      <c r="B116" t="s">
        <v>1</v>
      </c>
      <c r="C116" t="s">
        <v>165</v>
      </c>
    </row>
    <row r="117" spans="1:3" x14ac:dyDescent="0.25">
      <c r="A117">
        <v>441</v>
      </c>
      <c r="B117" t="s">
        <v>166</v>
      </c>
      <c r="C117" t="s">
        <v>167</v>
      </c>
    </row>
    <row r="118" spans="1:3" x14ac:dyDescent="0.25">
      <c r="A118">
        <v>442</v>
      </c>
      <c r="B118" t="s">
        <v>3</v>
      </c>
      <c r="C118" t="s">
        <v>168</v>
      </c>
    </row>
    <row r="119" spans="1:3" x14ac:dyDescent="0.25">
      <c r="A119">
        <v>443</v>
      </c>
      <c r="B119" t="s">
        <v>169</v>
      </c>
      <c r="C119" t="s">
        <v>170</v>
      </c>
    </row>
    <row r="120" spans="1:3" x14ac:dyDescent="0.25">
      <c r="A120">
        <v>444</v>
      </c>
      <c r="B120" t="s">
        <v>29</v>
      </c>
      <c r="C120" t="s">
        <v>171</v>
      </c>
    </row>
    <row r="121" spans="1:3" x14ac:dyDescent="0.25">
      <c r="A121">
        <v>445</v>
      </c>
      <c r="B121" t="s">
        <v>13</v>
      </c>
      <c r="C121" t="s">
        <v>172</v>
      </c>
    </row>
    <row r="122" spans="1:3" x14ac:dyDescent="0.25">
      <c r="A122">
        <v>446</v>
      </c>
      <c r="B122" t="s">
        <v>11</v>
      </c>
      <c r="C122" t="s">
        <v>173</v>
      </c>
    </row>
    <row r="123" spans="1:3" x14ac:dyDescent="0.25">
      <c r="A123">
        <v>447</v>
      </c>
      <c r="B123" t="s">
        <v>14</v>
      </c>
      <c r="C123" t="s">
        <v>174</v>
      </c>
    </row>
    <row r="124" spans="1:3" x14ac:dyDescent="0.25">
      <c r="A124">
        <v>448</v>
      </c>
      <c r="B124" t="s">
        <v>15</v>
      </c>
      <c r="C124" t="s">
        <v>175</v>
      </c>
    </row>
    <row r="125" spans="1:3" x14ac:dyDescent="0.25">
      <c r="A125">
        <v>449</v>
      </c>
      <c r="B125" t="s">
        <v>12</v>
      </c>
      <c r="C125" t="s">
        <v>176</v>
      </c>
    </row>
    <row r="126" spans="1:3" x14ac:dyDescent="0.25">
      <c r="A126">
        <v>450</v>
      </c>
      <c r="B126" t="s">
        <v>9</v>
      </c>
      <c r="C126" t="s">
        <v>177</v>
      </c>
    </row>
    <row r="127" spans="1:3" x14ac:dyDescent="0.25">
      <c r="A127">
        <v>451</v>
      </c>
      <c r="B127" t="s">
        <v>10</v>
      </c>
      <c r="C127" t="s">
        <v>178</v>
      </c>
    </row>
    <row r="128" spans="1:3" x14ac:dyDescent="0.25">
      <c r="A128">
        <v>452</v>
      </c>
      <c r="B128" t="s">
        <v>16</v>
      </c>
      <c r="C128" t="s">
        <v>179</v>
      </c>
    </row>
    <row r="129" spans="1:3" x14ac:dyDescent="0.25">
      <c r="A129">
        <v>453</v>
      </c>
      <c r="B129" t="s">
        <v>8</v>
      </c>
      <c r="C129" t="s">
        <v>180</v>
      </c>
    </row>
    <row r="130" spans="1:3" x14ac:dyDescent="0.25">
      <c r="A130">
        <v>454</v>
      </c>
      <c r="B130" t="s">
        <v>17</v>
      </c>
      <c r="C130" t="s">
        <v>181</v>
      </c>
    </row>
    <row r="131" spans="1:3" x14ac:dyDescent="0.25">
      <c r="A131">
        <v>455</v>
      </c>
      <c r="B131" t="s">
        <v>18</v>
      </c>
      <c r="C131" t="s">
        <v>182</v>
      </c>
    </row>
    <row r="132" spans="1:3" x14ac:dyDescent="0.25">
      <c r="A132">
        <v>456</v>
      </c>
      <c r="B132" t="s">
        <v>19</v>
      </c>
      <c r="C132" t="s">
        <v>183</v>
      </c>
    </row>
    <row r="133" spans="1:3" x14ac:dyDescent="0.25">
      <c r="A133">
        <v>457</v>
      </c>
      <c r="B133" t="s">
        <v>30</v>
      </c>
      <c r="C133" t="s">
        <v>184</v>
      </c>
    </row>
    <row r="134" spans="1:3" x14ac:dyDescent="0.25">
      <c r="A134">
        <v>458</v>
      </c>
      <c r="B134" t="s">
        <v>20</v>
      </c>
      <c r="C134" t="s">
        <v>185</v>
      </c>
    </row>
    <row r="135" spans="1:3" x14ac:dyDescent="0.25">
      <c r="A135">
        <v>459</v>
      </c>
      <c r="B135" t="s">
        <v>4</v>
      </c>
      <c r="C135" t="s">
        <v>186</v>
      </c>
    </row>
    <row r="136" spans="1:3" x14ac:dyDescent="0.25">
      <c r="A136">
        <v>460</v>
      </c>
      <c r="B136" t="s">
        <v>187</v>
      </c>
      <c r="C136" t="s">
        <v>188</v>
      </c>
    </row>
    <row r="137" spans="1:3" x14ac:dyDescent="0.25">
      <c r="A137">
        <v>461</v>
      </c>
      <c r="B137" t="s">
        <v>47</v>
      </c>
      <c r="C137" t="s">
        <v>189</v>
      </c>
    </row>
    <row r="138" spans="1:3" x14ac:dyDescent="0.25">
      <c r="A138">
        <v>462</v>
      </c>
      <c r="B138" t="s">
        <v>45</v>
      </c>
      <c r="C138" t="s">
        <v>190</v>
      </c>
    </row>
    <row r="139" spans="1:3" x14ac:dyDescent="0.25">
      <c r="A139">
        <v>463</v>
      </c>
      <c r="B139" t="s">
        <v>191</v>
      </c>
      <c r="C139" t="s">
        <v>192</v>
      </c>
    </row>
    <row r="140" spans="1:3" x14ac:dyDescent="0.25">
      <c r="A140">
        <v>464</v>
      </c>
      <c r="B140" t="s">
        <v>193</v>
      </c>
      <c r="C140" t="s">
        <v>194</v>
      </c>
    </row>
    <row r="141" spans="1:3" x14ac:dyDescent="0.25">
      <c r="A141">
        <v>465</v>
      </c>
      <c r="B141" t="s">
        <v>195</v>
      </c>
      <c r="C141" t="s">
        <v>196</v>
      </c>
    </row>
    <row r="142" spans="1:3" x14ac:dyDescent="0.25">
      <c r="A142">
        <v>466</v>
      </c>
      <c r="B142" t="s">
        <v>0</v>
      </c>
      <c r="C142" t="s">
        <v>197</v>
      </c>
    </row>
    <row r="143" spans="1:3" x14ac:dyDescent="0.25">
      <c r="A143">
        <v>467</v>
      </c>
      <c r="B143" t="s">
        <v>198</v>
      </c>
      <c r="C143" t="s">
        <v>199</v>
      </c>
    </row>
    <row r="144" spans="1:3" x14ac:dyDescent="0.25">
      <c r="A144">
        <v>468</v>
      </c>
      <c r="B144" t="s">
        <v>7</v>
      </c>
      <c r="C144" t="s">
        <v>200</v>
      </c>
    </row>
    <row r="145" spans="1:3" x14ac:dyDescent="0.25">
      <c r="A145">
        <v>469</v>
      </c>
      <c r="B145" t="s">
        <v>37</v>
      </c>
      <c r="C145" t="s">
        <v>201</v>
      </c>
    </row>
    <row r="146" spans="1:3" x14ac:dyDescent="0.25">
      <c r="A146">
        <v>470</v>
      </c>
      <c r="B146" t="s">
        <v>202</v>
      </c>
      <c r="C146" t="s">
        <v>203</v>
      </c>
    </row>
    <row r="147" spans="1:3" x14ac:dyDescent="0.25">
      <c r="A147">
        <v>471</v>
      </c>
      <c r="B147" t="s">
        <v>36</v>
      </c>
      <c r="C147" t="s">
        <v>204</v>
      </c>
    </row>
    <row r="148" spans="1:3" x14ac:dyDescent="0.25">
      <c r="A148">
        <v>472</v>
      </c>
      <c r="B148" t="s">
        <v>27</v>
      </c>
      <c r="C148" t="s">
        <v>205</v>
      </c>
    </row>
    <row r="149" spans="1:3" x14ac:dyDescent="0.25">
      <c r="A149">
        <v>473</v>
      </c>
      <c r="B149" t="s">
        <v>34</v>
      </c>
      <c r="C149" t="s">
        <v>206</v>
      </c>
    </row>
    <row r="150" spans="1:3" x14ac:dyDescent="0.25">
      <c r="A150">
        <v>474</v>
      </c>
      <c r="B150" t="s">
        <v>23</v>
      </c>
      <c r="C150" t="s">
        <v>207</v>
      </c>
    </row>
    <row r="151" spans="1:3" x14ac:dyDescent="0.25">
      <c r="A151">
        <v>475</v>
      </c>
      <c r="B151" t="s">
        <v>208</v>
      </c>
      <c r="C151" t="s">
        <v>209</v>
      </c>
    </row>
    <row r="152" spans="1:3" x14ac:dyDescent="0.25">
      <c r="A152">
        <v>476</v>
      </c>
      <c r="B152" t="s">
        <v>210</v>
      </c>
      <c r="C152" t="s">
        <v>211</v>
      </c>
    </row>
    <row r="153" spans="1:3" x14ac:dyDescent="0.25">
      <c r="A153">
        <v>477</v>
      </c>
      <c r="B153" t="s">
        <v>35</v>
      </c>
      <c r="C153" t="s">
        <v>212</v>
      </c>
    </row>
    <row r="154" spans="1:3" x14ac:dyDescent="0.25">
      <c r="A154">
        <v>478</v>
      </c>
      <c r="B154" t="s">
        <v>25</v>
      </c>
      <c r="C154" t="s">
        <v>213</v>
      </c>
    </row>
    <row r="155" spans="1:3" x14ac:dyDescent="0.25">
      <c r="A155">
        <v>479</v>
      </c>
      <c r="B155" t="s">
        <v>41</v>
      </c>
      <c r="C155" t="s">
        <v>214</v>
      </c>
    </row>
    <row r="156" spans="1:3" x14ac:dyDescent="0.25">
      <c r="A156">
        <v>480</v>
      </c>
      <c r="B156" t="s">
        <v>21</v>
      </c>
      <c r="C156" t="s">
        <v>215</v>
      </c>
    </row>
    <row r="157" spans="1:3" x14ac:dyDescent="0.25">
      <c r="A157">
        <v>481</v>
      </c>
      <c r="B157" t="s">
        <v>216</v>
      </c>
      <c r="C157" t="s">
        <v>217</v>
      </c>
    </row>
    <row r="158" spans="1:3" x14ac:dyDescent="0.25">
      <c r="A158">
        <v>482</v>
      </c>
      <c r="B158" t="s">
        <v>218</v>
      </c>
      <c r="C158" t="s">
        <v>219</v>
      </c>
    </row>
    <row r="159" spans="1:3" x14ac:dyDescent="0.25">
      <c r="A159">
        <v>483</v>
      </c>
      <c r="B159" t="s">
        <v>44</v>
      </c>
      <c r="C159" t="s">
        <v>220</v>
      </c>
    </row>
    <row r="160" spans="1:3" x14ac:dyDescent="0.25">
      <c r="A160">
        <v>484</v>
      </c>
      <c r="B160" t="s">
        <v>26</v>
      </c>
      <c r="C160" t="s">
        <v>221</v>
      </c>
    </row>
    <row r="161" spans="1:3" x14ac:dyDescent="0.25">
      <c r="A161">
        <v>485</v>
      </c>
      <c r="B161" t="s">
        <v>42</v>
      </c>
      <c r="C161" t="s">
        <v>222</v>
      </c>
    </row>
    <row r="162" spans="1:3" x14ac:dyDescent="0.25">
      <c r="A162">
        <v>486</v>
      </c>
      <c r="B162" t="s">
        <v>43</v>
      </c>
      <c r="C162" t="s">
        <v>223</v>
      </c>
    </row>
    <row r="163" spans="1:3" x14ac:dyDescent="0.25">
      <c r="A163">
        <v>487</v>
      </c>
      <c r="B163" t="s">
        <v>28</v>
      </c>
      <c r="C163" t="s">
        <v>224</v>
      </c>
    </row>
    <row r="164" spans="1:3" x14ac:dyDescent="0.25">
      <c r="A164">
        <v>659</v>
      </c>
      <c r="B164">
        <v>11110077</v>
      </c>
      <c r="C164" t="s">
        <v>225</v>
      </c>
    </row>
    <row r="165" spans="1:3" x14ac:dyDescent="0.25">
      <c r="A165">
        <v>664</v>
      </c>
      <c r="B165">
        <v>11150027</v>
      </c>
      <c r="C165" t="s">
        <v>226</v>
      </c>
    </row>
    <row r="166" spans="1:3" x14ac:dyDescent="0.25">
      <c r="A166">
        <v>665</v>
      </c>
      <c r="B166">
        <v>11150028</v>
      </c>
      <c r="C166" t="s">
        <v>227</v>
      </c>
    </row>
    <row r="167" spans="1:3" x14ac:dyDescent="0.25">
      <c r="A167">
        <v>689</v>
      </c>
      <c r="B167">
        <v>11320027</v>
      </c>
      <c r="C167" t="s">
        <v>228</v>
      </c>
    </row>
    <row r="168" spans="1:3" x14ac:dyDescent="0.25">
      <c r="A168">
        <v>694</v>
      </c>
      <c r="B168">
        <v>11410043</v>
      </c>
      <c r="C168" t="s">
        <v>229</v>
      </c>
    </row>
    <row r="169" spans="1:3" x14ac:dyDescent="0.25">
      <c r="A169">
        <v>697</v>
      </c>
      <c r="B169">
        <v>11420009</v>
      </c>
      <c r="C169" t="s">
        <v>230</v>
      </c>
    </row>
    <row r="170" spans="1:3" x14ac:dyDescent="0.25">
      <c r="A170">
        <v>699</v>
      </c>
      <c r="B170">
        <v>11450000</v>
      </c>
      <c r="C170" t="s">
        <v>231</v>
      </c>
    </row>
    <row r="171" spans="1:3" x14ac:dyDescent="0.25">
      <c r="A171">
        <v>702</v>
      </c>
      <c r="B171">
        <v>11610009</v>
      </c>
      <c r="C171" t="s">
        <v>232</v>
      </c>
    </row>
    <row r="172" spans="1:3" x14ac:dyDescent="0.25">
      <c r="A172">
        <v>711</v>
      </c>
      <c r="B172">
        <v>11640013</v>
      </c>
      <c r="C172" t="s">
        <v>233</v>
      </c>
    </row>
    <row r="173" spans="1:3" x14ac:dyDescent="0.25">
      <c r="A173">
        <v>713</v>
      </c>
      <c r="B173">
        <v>11640053</v>
      </c>
      <c r="C173" t="s">
        <v>234</v>
      </c>
    </row>
    <row r="174" spans="1:3" x14ac:dyDescent="0.25">
      <c r="A174">
        <v>714</v>
      </c>
      <c r="B174">
        <v>11640061</v>
      </c>
      <c r="C174" t="s">
        <v>235</v>
      </c>
    </row>
    <row r="175" spans="1:3" x14ac:dyDescent="0.25">
      <c r="A175">
        <v>715</v>
      </c>
      <c r="B175">
        <v>11650009</v>
      </c>
      <c r="C175" t="s">
        <v>236</v>
      </c>
    </row>
    <row r="176" spans="1:3" x14ac:dyDescent="0.25">
      <c r="A176">
        <v>716</v>
      </c>
      <c r="B176">
        <v>11650013</v>
      </c>
      <c r="C176" t="s">
        <v>237</v>
      </c>
    </row>
    <row r="177" spans="1:3" x14ac:dyDescent="0.25">
      <c r="A177">
        <v>720</v>
      </c>
      <c r="B177">
        <v>11660016</v>
      </c>
      <c r="C177" t="s">
        <v>238</v>
      </c>
    </row>
    <row r="178" spans="1:3" x14ac:dyDescent="0.25">
      <c r="A178">
        <v>727</v>
      </c>
      <c r="B178">
        <v>11710013</v>
      </c>
      <c r="C178" t="s">
        <v>239</v>
      </c>
    </row>
    <row r="179" spans="1:3" x14ac:dyDescent="0.25">
      <c r="A179">
        <v>735</v>
      </c>
      <c r="B179">
        <v>11740015</v>
      </c>
      <c r="C179" t="s">
        <v>240</v>
      </c>
    </row>
    <row r="180" spans="1:3" x14ac:dyDescent="0.25">
      <c r="A180">
        <v>742</v>
      </c>
      <c r="B180">
        <v>11760055</v>
      </c>
      <c r="C180" t="s">
        <v>241</v>
      </c>
    </row>
    <row r="181" spans="1:3" x14ac:dyDescent="0.25">
      <c r="A181">
        <v>744</v>
      </c>
      <c r="B181">
        <v>11770003</v>
      </c>
      <c r="C181" t="s">
        <v>242</v>
      </c>
    </row>
    <row r="182" spans="1:3" x14ac:dyDescent="0.25">
      <c r="A182">
        <v>746</v>
      </c>
      <c r="B182">
        <v>11880044</v>
      </c>
      <c r="C182" t="s">
        <v>243</v>
      </c>
    </row>
    <row r="183" spans="1:3" x14ac:dyDescent="0.25">
      <c r="A183">
        <v>772</v>
      </c>
      <c r="B183" t="s">
        <v>244</v>
      </c>
      <c r="C183" t="s">
        <v>245</v>
      </c>
    </row>
    <row r="184" spans="1:3" x14ac:dyDescent="0.25">
      <c r="A184">
        <v>776</v>
      </c>
      <c r="B184" t="s">
        <v>246</v>
      </c>
      <c r="C184" t="s">
        <v>247</v>
      </c>
    </row>
    <row r="185" spans="1:3" x14ac:dyDescent="0.25">
      <c r="A185">
        <v>778</v>
      </c>
      <c r="B185" t="s">
        <v>248</v>
      </c>
      <c r="C185" t="s">
        <v>249</v>
      </c>
    </row>
    <row r="186" spans="1:3" x14ac:dyDescent="0.25">
      <c r="A186">
        <v>785</v>
      </c>
      <c r="B186" t="s">
        <v>38</v>
      </c>
      <c r="C186" t="s">
        <v>250</v>
      </c>
    </row>
    <row r="187" spans="1:3" x14ac:dyDescent="0.25">
      <c r="A187">
        <v>786</v>
      </c>
      <c r="B187" t="s">
        <v>33</v>
      </c>
      <c r="C187" t="s">
        <v>251</v>
      </c>
    </row>
    <row r="188" spans="1:3" x14ac:dyDescent="0.25">
      <c r="A188">
        <v>787</v>
      </c>
      <c r="B188" t="s">
        <v>22</v>
      </c>
      <c r="C188" t="s">
        <v>252</v>
      </c>
    </row>
    <row r="189" spans="1:3" x14ac:dyDescent="0.25">
      <c r="A189">
        <v>793</v>
      </c>
      <c r="B189" t="s">
        <v>253</v>
      </c>
      <c r="C189" t="s">
        <v>254</v>
      </c>
    </row>
    <row r="190" spans="1:3" x14ac:dyDescent="0.25">
      <c r="A190">
        <v>794</v>
      </c>
      <c r="B190" t="s">
        <v>255</v>
      </c>
      <c r="C190" t="s">
        <v>256</v>
      </c>
    </row>
    <row r="191" spans="1:3" x14ac:dyDescent="0.25">
      <c r="A191">
        <v>803</v>
      </c>
      <c r="B191">
        <v>11240051</v>
      </c>
      <c r="C191" t="s">
        <v>257</v>
      </c>
    </row>
    <row r="192" spans="1:3" x14ac:dyDescent="0.25">
      <c r="A192">
        <v>804</v>
      </c>
      <c r="B192">
        <v>11730005</v>
      </c>
      <c r="C192" t="s">
        <v>258</v>
      </c>
    </row>
    <row r="193" spans="2:3" x14ac:dyDescent="0.25">
      <c r="B193">
        <v>11110002</v>
      </c>
      <c r="C193" t="s">
        <v>260</v>
      </c>
    </row>
    <row r="194" spans="2:3" x14ac:dyDescent="0.25">
      <c r="B194">
        <v>11140003</v>
      </c>
      <c r="C194" t="s">
        <v>261</v>
      </c>
    </row>
    <row r="195" spans="2:3" x14ac:dyDescent="0.25">
      <c r="B195">
        <v>11140015</v>
      </c>
      <c r="C195" t="s">
        <v>262</v>
      </c>
    </row>
    <row r="196" spans="2:3" x14ac:dyDescent="0.25">
      <c r="B196">
        <v>11140063</v>
      </c>
      <c r="C196" t="s">
        <v>263</v>
      </c>
    </row>
    <row r="197" spans="2:3" x14ac:dyDescent="0.25">
      <c r="B197">
        <v>11150004</v>
      </c>
      <c r="C197" t="s">
        <v>264</v>
      </c>
    </row>
    <row r="198" spans="2:3" x14ac:dyDescent="0.25">
      <c r="B198">
        <v>11150007</v>
      </c>
      <c r="C198" t="s">
        <v>265</v>
      </c>
    </row>
    <row r="199" spans="2:3" x14ac:dyDescent="0.25">
      <c r="B199">
        <v>11150030</v>
      </c>
      <c r="C199" t="s">
        <v>266</v>
      </c>
    </row>
    <row r="200" spans="2:3" x14ac:dyDescent="0.25">
      <c r="B200">
        <v>11150031</v>
      </c>
      <c r="C200" t="s">
        <v>267</v>
      </c>
    </row>
    <row r="201" spans="2:3" x14ac:dyDescent="0.25">
      <c r="B201">
        <v>11150066</v>
      </c>
      <c r="C201" t="s">
        <v>268</v>
      </c>
    </row>
    <row r="202" spans="2:3" x14ac:dyDescent="0.25">
      <c r="B202">
        <v>11150067</v>
      </c>
      <c r="C202" t="s">
        <v>269</v>
      </c>
    </row>
    <row r="203" spans="2:3" x14ac:dyDescent="0.25">
      <c r="B203">
        <v>11310016</v>
      </c>
      <c r="C203" t="s">
        <v>270</v>
      </c>
    </row>
    <row r="204" spans="2:3" x14ac:dyDescent="0.25">
      <c r="B204">
        <v>11320021</v>
      </c>
      <c r="C204" t="s">
        <v>271</v>
      </c>
    </row>
    <row r="205" spans="2:3" x14ac:dyDescent="0.25">
      <c r="B205">
        <v>11340039</v>
      </c>
      <c r="C205" t="s">
        <v>272</v>
      </c>
    </row>
    <row r="206" spans="2:3" x14ac:dyDescent="0.25">
      <c r="B206">
        <v>11410008</v>
      </c>
      <c r="C206" t="s">
        <v>273</v>
      </c>
    </row>
    <row r="207" spans="2:3" x14ac:dyDescent="0.25">
      <c r="B207">
        <v>11410081</v>
      </c>
      <c r="C207" t="s">
        <v>274</v>
      </c>
    </row>
    <row r="208" spans="2:3" x14ac:dyDescent="0.25">
      <c r="B208">
        <v>11600009</v>
      </c>
      <c r="C208" t="s">
        <v>275</v>
      </c>
    </row>
    <row r="209" spans="2:3" x14ac:dyDescent="0.25">
      <c r="B209">
        <v>11630020</v>
      </c>
      <c r="C209" t="s">
        <v>276</v>
      </c>
    </row>
    <row r="210" spans="2:3" x14ac:dyDescent="0.25">
      <c r="B210">
        <v>11640011</v>
      </c>
      <c r="C210" t="s">
        <v>277</v>
      </c>
    </row>
    <row r="211" spans="2:3" x14ac:dyDescent="0.25">
      <c r="B211">
        <v>11650018</v>
      </c>
      <c r="C211" t="s">
        <v>278</v>
      </c>
    </row>
    <row r="212" spans="2:3" x14ac:dyDescent="0.25">
      <c r="B212">
        <v>11660020</v>
      </c>
      <c r="C212" t="s">
        <v>279</v>
      </c>
    </row>
    <row r="213" spans="2:3" x14ac:dyDescent="0.25">
      <c r="B213">
        <v>11690011</v>
      </c>
      <c r="C213" t="s">
        <v>280</v>
      </c>
    </row>
    <row r="214" spans="2:3" x14ac:dyDescent="0.25">
      <c r="B214">
        <v>11720024</v>
      </c>
      <c r="C214" t="s">
        <v>281</v>
      </c>
    </row>
    <row r="215" spans="2:3" x14ac:dyDescent="0.25">
      <c r="B215">
        <v>11720091</v>
      </c>
      <c r="C215" t="s">
        <v>282</v>
      </c>
    </row>
    <row r="216" spans="2:3" x14ac:dyDescent="0.25">
      <c r="B216">
        <v>11750021</v>
      </c>
      <c r="C216" t="s">
        <v>283</v>
      </c>
    </row>
    <row r="217" spans="2:3" x14ac:dyDescent="0.25">
      <c r="B217">
        <v>11750059</v>
      </c>
      <c r="C217" t="s">
        <v>284</v>
      </c>
    </row>
    <row r="218" spans="2:3" x14ac:dyDescent="0.25">
      <c r="B218">
        <v>11880035</v>
      </c>
      <c r="C218" t="s">
        <v>285</v>
      </c>
    </row>
    <row r="219" spans="2:3" x14ac:dyDescent="0.25">
      <c r="B219">
        <v>11880094</v>
      </c>
      <c r="C219" t="s">
        <v>286</v>
      </c>
    </row>
    <row r="220" spans="2:3" x14ac:dyDescent="0.25">
      <c r="B220">
        <v>11880095</v>
      </c>
      <c r="C220" t="s">
        <v>287</v>
      </c>
    </row>
    <row r="221" spans="2:3" x14ac:dyDescent="0.25">
      <c r="B221">
        <v>11959922</v>
      </c>
      <c r="C221" t="s">
        <v>288</v>
      </c>
    </row>
    <row r="222" spans="2:3" x14ac:dyDescent="0.25">
      <c r="B222">
        <v>11959973</v>
      </c>
      <c r="C222" t="s">
        <v>289</v>
      </c>
    </row>
    <row r="223" spans="2:3" x14ac:dyDescent="0.25">
      <c r="B223" t="s">
        <v>46</v>
      </c>
      <c r="C223" t="s">
        <v>290</v>
      </c>
    </row>
    <row r="224" spans="2:3" x14ac:dyDescent="0.25">
      <c r="B224" t="s">
        <v>32</v>
      </c>
      <c r="C224" t="s">
        <v>291</v>
      </c>
    </row>
    <row r="225" spans="2:3" x14ac:dyDescent="0.25">
      <c r="B225" t="s">
        <v>31</v>
      </c>
      <c r="C225" t="s">
        <v>292</v>
      </c>
    </row>
    <row r="226" spans="2:3" x14ac:dyDescent="0.25">
      <c r="B226" t="s">
        <v>39</v>
      </c>
      <c r="C226" t="s">
        <v>293</v>
      </c>
    </row>
    <row r="227" spans="2:3" x14ac:dyDescent="0.25">
      <c r="B227" t="s">
        <v>40</v>
      </c>
      <c r="C227" t="s">
        <v>294</v>
      </c>
    </row>
    <row r="228" spans="2:3" x14ac:dyDescent="0.25">
      <c r="B228" t="s">
        <v>5</v>
      </c>
      <c r="C228" t="s">
        <v>295</v>
      </c>
    </row>
    <row r="229" spans="2:3" x14ac:dyDescent="0.25">
      <c r="B229" t="s">
        <v>6</v>
      </c>
      <c r="C229" t="s">
        <v>296</v>
      </c>
    </row>
    <row r="230" spans="2:3" x14ac:dyDescent="0.25">
      <c r="B230" t="s">
        <v>24</v>
      </c>
      <c r="C230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Master MAKT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2026-06-08T02:06:12Z</dcterms:created>
  <dcterms:modified xsi:type="dcterms:W3CDTF">2026-06-08T02:13:10Z</dcterms:modified>
</cp:coreProperties>
</file>